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imelineCaches/timelineCache1.xml" ContentType="application/vnd.ms-excel.timelineCache+xml"/>
  <Override PartName="/xl/timelineCaches/timelineCache2.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ml.chartshap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430" codeName="{C5BBEA04-B48B-DB03-FC8F-E18A6752861A}"/>
  <workbookPr codeName="ThisWorkbook" hidePivotFieldList="1" defaultThemeVersion="166925"/>
  <mc:AlternateContent xmlns:mc="http://schemas.openxmlformats.org/markup-compatibility/2006">
    <mc:Choice Requires="x15">
      <x15ac:absPath xmlns:x15ac="http://schemas.microsoft.com/office/spreadsheetml/2010/11/ac" url="C:\Users\HP\Documents\Learning + Portfolio\Excel\"/>
    </mc:Choice>
  </mc:AlternateContent>
  <xr:revisionPtr revIDLastSave="0" documentId="13_ncr:1_{D1B10F02-F225-43C0-8387-ED9A41D5580B}" xr6:coauthVersionLast="47" xr6:coauthVersionMax="47" xr10:uidLastSave="{00000000-0000-0000-0000-000000000000}"/>
  <bookViews>
    <workbookView xWindow="-120" yWindow="-120" windowWidth="20730" windowHeight="11040" activeTab="1" xr2:uid="{9DBF718B-652B-4C03-B487-B0760B7CB078}"/>
  </bookViews>
  <sheets>
    <sheet name="RILL Fix Data (Pivot)" sheetId="5" r:id="rId1"/>
    <sheet name="Portfolio-PIVOT+Chart" sheetId="6" r:id="rId2"/>
    <sheet name="Tabel-Help Pivot" sheetId="8" r:id="rId3"/>
    <sheet name="Dataset Tambahan" sheetId="7" r:id="rId4"/>
    <sheet name="CLEAN Data Porto" sheetId="4" r:id="rId5"/>
    <sheet name="Mapping_Product" sheetId="2" r:id="rId6"/>
    <sheet name="RAW Data Porto" sheetId="10" r:id="rId7"/>
  </sheets>
  <definedNames>
    <definedName name="NativeTimeline_Order_Date">#N/A</definedName>
    <definedName name="NativeTimeline_Order_Date1">#N/A</definedName>
    <definedName name="Slicer_Order_Date">#N/A</definedName>
    <definedName name="Slicer_Sales_High_vs_Low">#N/A</definedName>
  </definedNames>
  <calcPr calcId="191029"/>
  <pivotCaches>
    <pivotCache cacheId="0" r:id="rId8"/>
  </pivotCaches>
  <extLst>
    <ext xmlns:x14="http://schemas.microsoft.com/office/spreadsheetml/2009/9/main" uri="{BBE1A952-AA13-448e-AADC-164F8A28A991}">
      <x14:slicerCaches>
        <x14:slicerCache r:id="rId9"/>
        <x14:slicerCache r:id="rId10"/>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11"/>
        <x15:timelineCacheRef r:id="rId12"/>
      </x15:timelineCacheRef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J2" i="10" l="1" a="1"/>
  <c r="J2" i="10" s="1"/>
  <c r="E2" i="4" s="1"/>
  <c r="E6" i="4"/>
  <c r="E8" i="4"/>
  <c r="E10" i="4"/>
  <c r="E12" i="4"/>
  <c r="E14" i="4"/>
  <c r="E16" i="4"/>
  <c r="E18" i="4"/>
  <c r="E20" i="4"/>
  <c r="E22" i="4"/>
  <c r="E24" i="4"/>
  <c r="E26" i="4"/>
  <c r="E28" i="4"/>
  <c r="E30" i="4"/>
  <c r="E32" i="4"/>
  <c r="E34" i="4"/>
  <c r="E36" i="4"/>
  <c r="E38" i="4"/>
  <c r="E40" i="4"/>
  <c r="E42" i="4"/>
  <c r="E44" i="4"/>
  <c r="E46" i="4"/>
  <c r="E48" i="4"/>
  <c r="E50" i="4"/>
  <c r="E52" i="4"/>
  <c r="E54" i="4"/>
  <c r="E56" i="4"/>
  <c r="E58" i="4"/>
  <c r="E60" i="4"/>
  <c r="E62" i="4"/>
  <c r="E64" i="4"/>
  <c r="E66" i="4"/>
  <c r="E68" i="4"/>
  <c r="E70" i="4"/>
  <c r="E4" i="4"/>
  <c r="E3" i="4"/>
  <c r="E5" i="4"/>
  <c r="E7" i="4"/>
  <c r="E9" i="4"/>
  <c r="E11" i="4"/>
  <c r="E13" i="4"/>
  <c r="E15" i="4"/>
  <c r="E17" i="4"/>
  <c r="E19" i="4"/>
  <c r="E21" i="4"/>
  <c r="E23" i="4"/>
  <c r="E25" i="4"/>
  <c r="E27" i="4"/>
  <c r="E29" i="4"/>
  <c r="E31" i="4"/>
  <c r="E33" i="4"/>
  <c r="E35" i="4"/>
  <c r="E37" i="4"/>
  <c r="E39" i="4"/>
  <c r="E41" i="4"/>
  <c r="E43" i="4"/>
  <c r="E45" i="4"/>
  <c r="E47" i="4"/>
  <c r="E49" i="4"/>
  <c r="E51" i="4"/>
  <c r="E53" i="4"/>
  <c r="E55" i="4"/>
  <c r="E57" i="4"/>
  <c r="E59" i="4"/>
  <c r="E61" i="4"/>
  <c r="E63" i="4"/>
  <c r="E65" i="4"/>
  <c r="E67" i="4"/>
  <c r="E69" i="4"/>
  <c r="E71" i="4"/>
  <c r="D2" i="4" a="1"/>
  <c r="D2" i="4" s="1"/>
  <c r="H131" i="5"/>
  <c r="H130" i="5"/>
  <c r="H129" i="5"/>
  <c r="H128" i="5"/>
  <c r="H127" i="5"/>
  <c r="H126" i="5"/>
  <c r="H125" i="5"/>
  <c r="H124" i="5"/>
  <c r="H123" i="5"/>
  <c r="H122" i="5"/>
  <c r="H121" i="5"/>
  <c r="H120" i="5"/>
  <c r="H119" i="5"/>
  <c r="H118" i="5"/>
  <c r="H117" i="5"/>
  <c r="H116" i="5"/>
  <c r="H115" i="5"/>
  <c r="H114" i="5"/>
  <c r="H113" i="5"/>
  <c r="H112" i="5"/>
  <c r="H111" i="5"/>
  <c r="H110" i="5"/>
  <c r="H109" i="5"/>
  <c r="H108" i="5"/>
  <c r="H107" i="5"/>
  <c r="H106" i="5"/>
  <c r="H105" i="5"/>
  <c r="H104" i="5"/>
  <c r="H103" i="5"/>
  <c r="H102" i="5"/>
  <c r="H101" i="5"/>
  <c r="H100" i="5"/>
  <c r="H99" i="5"/>
  <c r="H98" i="5"/>
  <c r="H97" i="5"/>
  <c r="H96" i="5"/>
  <c r="H95" i="5"/>
  <c r="H94" i="5"/>
  <c r="H93" i="5"/>
  <c r="H92" i="5"/>
  <c r="H91" i="5"/>
  <c r="H90" i="5"/>
  <c r="H89" i="5"/>
  <c r="H88" i="5"/>
  <c r="H87" i="5"/>
  <c r="H86" i="5"/>
  <c r="H85" i="5"/>
  <c r="H84" i="5"/>
  <c r="H83" i="5"/>
  <c r="H82" i="5"/>
  <c r="H81" i="5"/>
  <c r="H80" i="5"/>
  <c r="H79" i="5"/>
  <c r="H78" i="5"/>
  <c r="H77" i="5"/>
  <c r="H76" i="5"/>
  <c r="H75" i="5"/>
  <c r="H74" i="5"/>
  <c r="H73" i="5"/>
  <c r="H72" i="5"/>
  <c r="H2" i="5"/>
  <c r="H3" i="5"/>
  <c r="H4" i="5"/>
  <c r="H5" i="5"/>
  <c r="H6" i="5"/>
  <c r="H7" i="5"/>
  <c r="H8" i="5"/>
  <c r="H9" i="5"/>
  <c r="H10" i="5"/>
  <c r="H11" i="5"/>
  <c r="H12" i="5"/>
  <c r="H13" i="5"/>
  <c r="H14" i="5"/>
  <c r="H15" i="5"/>
  <c r="H16" i="5"/>
  <c r="H17" i="5"/>
  <c r="H18" i="5"/>
  <c r="H19" i="5"/>
  <c r="H20" i="5"/>
  <c r="H21" i="5"/>
  <c r="H22" i="5"/>
  <c r="H23" i="5"/>
  <c r="H24" i="5"/>
  <c r="H25" i="5"/>
  <c r="H26" i="5"/>
  <c r="H27" i="5"/>
  <c r="H28" i="5"/>
  <c r="H29" i="5"/>
  <c r="H30" i="5"/>
  <c r="H31" i="5"/>
  <c r="H32" i="5"/>
  <c r="H33" i="5"/>
  <c r="H34" i="5"/>
  <c r="H35" i="5"/>
  <c r="H36" i="5"/>
  <c r="H37" i="5"/>
  <c r="H38" i="5"/>
  <c r="H39" i="5"/>
  <c r="H40" i="5"/>
  <c r="H41" i="5"/>
  <c r="H42" i="5"/>
  <c r="H43" i="5"/>
  <c r="H44" i="5"/>
  <c r="H45" i="5"/>
  <c r="H46" i="5"/>
  <c r="H47" i="5"/>
  <c r="H48" i="5"/>
  <c r="H49" i="5"/>
  <c r="H50" i="5"/>
  <c r="H51" i="5"/>
  <c r="H52" i="5"/>
  <c r="H53" i="5"/>
  <c r="H54" i="5"/>
  <c r="H55" i="5"/>
  <c r="H56" i="5"/>
  <c r="H57" i="5"/>
  <c r="H58" i="5"/>
  <c r="H59" i="5"/>
  <c r="H60" i="5"/>
  <c r="H61" i="5"/>
  <c r="H62" i="5"/>
  <c r="H63" i="5"/>
  <c r="H64" i="5"/>
  <c r="H65" i="5"/>
  <c r="H66" i="5"/>
  <c r="H67" i="5"/>
  <c r="H68" i="5"/>
  <c r="H69" i="5"/>
  <c r="H70" i="5"/>
  <c r="H71" i="5"/>
  <c r="H2" i="7"/>
  <c r="H3" i="7"/>
  <c r="H4" i="7"/>
  <c r="H5" i="7"/>
  <c r="H6" i="7"/>
  <c r="H7" i="7"/>
  <c r="H8" i="7"/>
  <c r="H9" i="7"/>
  <c r="H10" i="7"/>
  <c r="H11" i="7"/>
  <c r="H12" i="7"/>
  <c r="H13" i="7"/>
  <c r="H14" i="7"/>
  <c r="H15" i="7"/>
  <c r="H16" i="7"/>
  <c r="H17" i="7"/>
  <c r="H18" i="7"/>
  <c r="H19" i="7"/>
  <c r="H20" i="7"/>
  <c r="H21" i="7"/>
  <c r="H22" i="7"/>
  <c r="H23" i="7"/>
  <c r="H24" i="7"/>
  <c r="H25" i="7"/>
  <c r="H26" i="7"/>
  <c r="H27" i="7"/>
  <c r="H28" i="7"/>
  <c r="H29" i="7"/>
  <c r="H30" i="7"/>
  <c r="H31" i="7"/>
  <c r="H32" i="7"/>
  <c r="H33" i="7"/>
  <c r="H34" i="7"/>
  <c r="H35" i="7"/>
  <c r="H36" i="7"/>
  <c r="H37" i="7"/>
  <c r="H38" i="7"/>
  <c r="H39" i="7"/>
  <c r="H40" i="7"/>
  <c r="H41" i="7"/>
  <c r="H42" i="7"/>
  <c r="H43" i="7"/>
  <c r="H44" i="7"/>
  <c r="H45" i="7"/>
  <c r="H46" i="7"/>
  <c r="H47" i="7"/>
  <c r="H48" i="7"/>
  <c r="H49" i="7"/>
  <c r="H50" i="7"/>
  <c r="H51" i="7"/>
  <c r="H52" i="7"/>
  <c r="H53" i="7"/>
  <c r="H54" i="7"/>
  <c r="H55" i="7"/>
  <c r="H56" i="7"/>
  <c r="H57" i="7"/>
  <c r="H58" i="7"/>
  <c r="H59" i="7"/>
  <c r="H60" i="7"/>
  <c r="H1" i="7"/>
  <c r="H3" i="4"/>
  <c r="H4" i="4"/>
  <c r="H5" i="4"/>
  <c r="H6" i="4"/>
  <c r="H7" i="4"/>
  <c r="H8" i="4"/>
  <c r="H9" i="4"/>
  <c r="H10" i="4"/>
  <c r="H11" i="4"/>
  <c r="H12" i="4"/>
  <c r="H13" i="4"/>
  <c r="H14" i="4"/>
  <c r="H15" i="4"/>
  <c r="H16" i="4"/>
  <c r="H17" i="4"/>
  <c r="H18" i="4"/>
  <c r="H19" i="4"/>
  <c r="H20" i="4"/>
  <c r="H21" i="4"/>
  <c r="H22" i="4"/>
  <c r="H23" i="4"/>
  <c r="H24" i="4"/>
  <c r="H25" i="4"/>
  <c r="H26" i="4"/>
  <c r="H27" i="4"/>
  <c r="H28" i="4"/>
  <c r="H29" i="4"/>
  <c r="H30" i="4"/>
  <c r="H31" i="4"/>
  <c r="H32" i="4"/>
  <c r="H33" i="4"/>
  <c r="H34" i="4"/>
  <c r="H35" i="4"/>
  <c r="H36" i="4"/>
  <c r="H37" i="4"/>
  <c r="H38" i="4"/>
  <c r="H39" i="4"/>
  <c r="H40" i="4"/>
  <c r="H41" i="4"/>
  <c r="H42" i="4"/>
  <c r="H43" i="4"/>
  <c r="H44" i="4"/>
  <c r="H45" i="4"/>
  <c r="H46" i="4"/>
  <c r="H47" i="4"/>
  <c r="H48" i="4"/>
  <c r="H49" i="4"/>
  <c r="H50" i="4"/>
  <c r="H51" i="4"/>
  <c r="H52" i="4"/>
  <c r="H53" i="4"/>
  <c r="H54" i="4"/>
  <c r="H55" i="4"/>
  <c r="H56" i="4"/>
  <c r="H57" i="4"/>
  <c r="H58" i="4"/>
  <c r="H59" i="4"/>
  <c r="H60" i="4"/>
  <c r="H61" i="4"/>
  <c r="H62" i="4"/>
  <c r="H63" i="4"/>
  <c r="H64" i="4"/>
  <c r="H65" i="4"/>
  <c r="H66" i="4"/>
  <c r="H67" i="4"/>
  <c r="H68" i="4"/>
  <c r="H69" i="4"/>
  <c r="H70" i="4"/>
  <c r="H71" i="4"/>
  <c r="H2" i="4"/>
  <c r="I134" i="5" l="1"/>
  <c r="D7" i="8"/>
  <c r="D3" i="8"/>
  <c r="I135" i="5" l="1"/>
  <c r="I72" i="5"/>
  <c r="I73"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2" i="5"/>
  <c r="I103" i="5"/>
  <c r="I104" i="5"/>
  <c r="I105" i="5"/>
  <c r="I106" i="5"/>
  <c r="I107" i="5"/>
  <c r="I108" i="5"/>
  <c r="I109" i="5"/>
  <c r="I110" i="5"/>
  <c r="I111" i="5"/>
  <c r="I112" i="5"/>
  <c r="I113" i="5"/>
  <c r="I114" i="5"/>
  <c r="I115" i="5"/>
  <c r="I116" i="5"/>
  <c r="I117" i="5"/>
  <c r="I118" i="5"/>
  <c r="I119" i="5"/>
  <c r="I120" i="5"/>
  <c r="I121" i="5"/>
  <c r="I122" i="5"/>
  <c r="I123" i="5"/>
  <c r="I124" i="5"/>
  <c r="I125" i="5"/>
  <c r="I126" i="5"/>
  <c r="I127" i="5"/>
  <c r="I128" i="5"/>
  <c r="I129" i="5"/>
  <c r="I130" i="5"/>
  <c r="I131" i="5"/>
  <c r="J2" i="7" a="1"/>
  <c r="J2" i="7" s="1"/>
  <c r="I2" i="5" l="1"/>
  <c r="I3" i="5"/>
  <c r="I4" i="5"/>
  <c r="I5" i="5"/>
  <c r="I6" i="5"/>
  <c r="I7" i="5"/>
  <c r="I8" i="5"/>
  <c r="I9" i="5"/>
  <c r="I10" i="5"/>
  <c r="I11" i="5"/>
  <c r="I12" i="5"/>
  <c r="I13" i="5"/>
  <c r="I14" i="5"/>
  <c r="I15" i="5"/>
  <c r="I16" i="5"/>
  <c r="I17" i="5"/>
  <c r="I18" i="5"/>
  <c r="I19" i="5"/>
  <c r="I20" i="5"/>
  <c r="I21" i="5"/>
  <c r="I22" i="5"/>
  <c r="I23" i="5"/>
  <c r="I24" i="5"/>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C2" i="4" a="1"/>
  <c r="C2" i="4" s="1"/>
  <c r="B5" i="4"/>
  <c r="B15" i="4"/>
  <c r="B25" i="4"/>
  <c r="B34" i="4"/>
  <c r="B43" i="4"/>
  <c r="B53" i="4"/>
  <c r="B62" i="4"/>
  <c r="B69" i="4"/>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<sst xmlns="http://schemas.openxmlformats.org/spreadsheetml/2006/main" count="951" uniqueCount="118">
  <si>
    <t>Laptop Sleeve</t>
  </si>
  <si>
    <t>Sleeve-laptop</t>
  </si>
  <si>
    <t>Laptop-sleeve</t>
  </si>
  <si>
    <t>Standart_Product</t>
  </si>
  <si>
    <t>Raw_Product</t>
  </si>
  <si>
    <t>Jacket</t>
  </si>
  <si>
    <t>Apparel</t>
  </si>
  <si>
    <t>Belt</t>
  </si>
  <si>
    <t>Accessories</t>
  </si>
  <si>
    <t>West</t>
  </si>
  <si>
    <t>Headphone</t>
  </si>
  <si>
    <t>Electronics</t>
  </si>
  <si>
    <t>South</t>
  </si>
  <si>
    <t>Footwear</t>
  </si>
  <si>
    <t>North</t>
  </si>
  <si>
    <t>T-Shirt</t>
  </si>
  <si>
    <t>Keyboard</t>
  </si>
  <si>
    <t>Cap</t>
  </si>
  <si>
    <t>Shoes</t>
  </si>
  <si>
    <t>Mouse</t>
  </si>
  <si>
    <t>East</t>
  </si>
  <si>
    <t>Total_Sales</t>
  </si>
  <si>
    <t>Unit_Price</t>
  </si>
  <si>
    <t>Quantity</t>
  </si>
  <si>
    <t>Order_Date</t>
  </si>
  <si>
    <t>Order_ID</t>
  </si>
  <si>
    <t>ex: sehingga, data "Laptop-Sleeve" menjadi "Laptop Sleeve"</t>
  </si>
  <si>
    <t>6) Menggunakan VLOOKUP untuk membetulkan kata di Product_Clean menggunakan,</t>
  </si>
  <si>
    <t>5) Membuat sheet (Mapping_Product) untuk membantu membuat kata menjadi standart</t>
  </si>
  <si>
    <t>SUBSTITUTE = Mengganti teks lama dengan teks baru dlm sbah string (ex: lama(" ") ; baru("-")</t>
  </si>
  <si>
    <t>PROPER = mengubah HURUF PERTAMA setiap KATA menjadi huruf KAPITAL</t>
  </si>
  <si>
    <t>TRIM = Menghilangkan spasi yg tidak perlu</t>
  </si>
  <si>
    <t>4) Normalisasi Product di sheet (RAW Data Porto) using rumus =PROPER(TRIM(SUBSTITUTE(E2:E71;" ";"-")))</t>
  </si>
  <si>
    <t>3) TRIM + PROPER Category dengan rumus =TRIM(PROPER(Sheet4!D2:D71))</t>
  </si>
  <si>
    <t>NOTE: CLEANING DATA</t>
  </si>
  <si>
    <t>Product_Clean</t>
  </si>
  <si>
    <t>Category_Clean</t>
  </si>
  <si>
    <t>Region_Clean</t>
  </si>
  <si>
    <t>Sales High vs Low</t>
  </si>
  <si>
    <t>Grand Total</t>
  </si>
  <si>
    <t>Sum of Quantity2</t>
  </si>
  <si>
    <t>Sum of Quantity</t>
  </si>
  <si>
    <t>Row Labels</t>
  </si>
  <si>
    <t>Low</t>
  </si>
  <si>
    <t>High</t>
  </si>
  <si>
    <t>Sum of Total_Sales</t>
  </si>
  <si>
    <t>(All)</t>
  </si>
  <si>
    <t>Mar</t>
  </si>
  <si>
    <t>Feb</t>
  </si>
  <si>
    <t>Jan</t>
  </si>
  <si>
    <t>2024</t>
  </si>
  <si>
    <t>Hoodie</t>
  </si>
  <si>
    <t>Sandals</t>
  </si>
  <si>
    <t>Apr</t>
  </si>
  <si>
    <t>May</t>
  </si>
  <si>
    <t>bulan mei</t>
  </si>
  <si>
    <t xml:space="preserve">bulan apr </t>
  </si>
  <si>
    <t>Mei 1- 10</t>
  </si>
  <si>
    <t>April 1 - 10</t>
  </si>
  <si>
    <t>Total Sales tgl 1 - 10</t>
  </si>
  <si>
    <t>Mei</t>
  </si>
  <si>
    <t xml:space="preserve">April </t>
  </si>
  <si>
    <t>Average of Unit_Price</t>
  </si>
  <si>
    <t>Years</t>
  </si>
  <si>
    <t>Average of Total_Sales</t>
  </si>
  <si>
    <t>Average of Quantity</t>
  </si>
  <si>
    <t xml:space="preserve"> </t>
  </si>
  <si>
    <t>count</t>
  </si>
  <si>
    <t xml:space="preserve">1) membetulkan dataset, "Data" - "Teks to column" </t>
  </si>
  <si>
    <t>2) go to special (ctrl+g) -- blanks -- menginput data dari tanggal diatasnya (panah atas) -- ctrl + neter</t>
  </si>
  <si>
    <t>EAST</t>
  </si>
  <si>
    <t>shoes</t>
  </si>
  <si>
    <t>east</t>
  </si>
  <si>
    <t>T shirt</t>
  </si>
  <si>
    <t>cap</t>
  </si>
  <si>
    <t>north</t>
  </si>
  <si>
    <t>T Shirt</t>
  </si>
  <si>
    <t>T-shirt</t>
  </si>
  <si>
    <t>FootWear</t>
  </si>
  <si>
    <t>south</t>
  </si>
  <si>
    <t>t-shirt</t>
  </si>
  <si>
    <t>apparel</t>
  </si>
  <si>
    <t>normalisasi_Product</t>
  </si>
  <si>
    <t>Product</t>
  </si>
  <si>
    <t>Category</t>
  </si>
  <si>
    <t>Region</t>
  </si>
  <si>
    <t xml:space="preserve">KET: </t>
  </si>
  <si>
    <t>1) IFERROR = digunakan agar tidak ada error yg terjadi, dan jika ada, output nya akan disesuaikan</t>
  </si>
  <si>
    <t xml:space="preserve">2) VLOOKUP = berfungsi untuk mengambil dara dari file "RAW Data Porto" dan "Mapping_Product" </t>
  </si>
  <si>
    <t>3) 2 = output yg akan dijadikan hasil</t>
  </si>
  <si>
    <t>4) FALSE = output akan sesuai atau persis</t>
  </si>
  <si>
    <t>rumus =IFERROR(VLOOKUP('RAW Data Porto'!J2; Mapping_Product!A:B; 2; FALSE); 'RAW Data Porto'!J2)</t>
  </si>
  <si>
    <t>5) 'RAW Data Porto'!J2 = mengambil data dari file "RAW Data Porto" -- pertama</t>
  </si>
  <si>
    <t>6) 'RAW Data Porto'!J2 = mengambil data dari file "RAW Data Porto" u/ dijadikan output jika terjadi error -- kedua</t>
  </si>
  <si>
    <t>Note</t>
  </si>
  <si>
    <t>Digunakan untuk me mapping atau menjadi format kata pasti yang digunakan</t>
  </si>
  <si>
    <t xml:space="preserve">dalam produk </t>
  </si>
  <si>
    <t>Laptop-sleeve' akan diubah menjadi 'Laptop Sleeve' menggunakan rumus VLOOKUP</t>
  </si>
  <si>
    <t>sehingga, file ini sebagai acuan pengubahan nama tersebut</t>
  </si>
  <si>
    <t>NOTE</t>
  </si>
  <si>
    <t xml:space="preserve">digunakan rumus FILTER untuk mencari apakah ada duplikat </t>
  </si>
  <si>
    <t xml:space="preserve">dalam data tambahan ini atau tidak. </t>
  </si>
  <si>
    <t>ex: = FILTER(A1:A60;(COUNTIF(A1:A60;A1:A60))&gt;1;"Tidak ada yg duplikat")</t>
  </si>
  <si>
    <t xml:space="preserve">Tabel pembantu dalam analisis </t>
  </si>
  <si>
    <t xml:space="preserve">normalisasi ini bertujuan untuk mengubah kata format kata </t>
  </si>
  <si>
    <t>T-shirt menjadi sama semua</t>
  </si>
  <si>
    <t>ex: =PROPER(TRIM(SUBSTITUTE($E$2:$E$71;" ";"-")))</t>
  </si>
  <si>
    <t>KET:</t>
  </si>
  <si>
    <t>1) PROPER = digunakan untuk mengubah setiap kata diawal kalimat</t>
  </si>
  <si>
    <t xml:space="preserve">menjadi huruf besar / kapital </t>
  </si>
  <si>
    <t>2) TRIM = digunakan untuk menghapus spasi berlebihan atau ganda dalam kata</t>
  </si>
  <si>
    <t>3) SUBSTITUTE = digunakan untuk mengganti teks lama mejadi teks baru</t>
  </si>
  <si>
    <t>ex = SUBSTITUTE(teks: $E$2:$E$71 ; old teks: " " ; new teks: "-"</t>
  </si>
  <si>
    <t xml:space="preserve">normalisasi_product adalah data hasil normalisasi dari "Product" </t>
  </si>
  <si>
    <t>Output</t>
  </si>
  <si>
    <t xml:space="preserve">dalam dataset ini tidak ada duplikat </t>
  </si>
  <si>
    <t>salah satu segmen (total sales per date) di pivot tabel</t>
  </si>
  <si>
    <t>OUTPUT PIVOT TABLE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</si>
</sst>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1" formatCode="_-* #,##0_-;\-* #,##0_-;_-* &quot;-&quot;_-;_-@_-"/>
    <numFmt numFmtId="164" formatCode="#,##0;[Red]#,##0"/>
    <numFmt numFmtId="165" formatCode="&quot;Rp&quot;#,##0;[Red]&quot;Rp&quot;#,##0"/>
  </numFmts>
  <fonts count="5" x14ac:knownFonts="1">
    <font>
      <sz val="11"/>
      <color theme="1"/>
      <name val="Calibri"/>
      <family val="2"/>
      <scheme val="minor"/>
    </font>
    <font>
      <b/>
      <sz val="11"/>
      <color theme="1"/>
      <name val="Calibri"/>
      <family val="2"/>
      <scheme val="minor"/>
    </font>
    <font>
      <sz val="11"/>
      <color theme="1"/>
      <name val="Calibri"/>
      <family val="2"/>
      <scheme val="minor"/>
    </font>
    <font>
      <b/>
      <sz val="15"/>
      <color theme="1"/>
      <name val="Calibri"/>
      <family val="2"/>
      <scheme val="minor"/>
    </font>
    <font>
      <b/>
      <sz val="20"/>
      <color theme="1"/>
      <name val="Calibri"/>
      <family val="2"/>
      <scheme val="minor"/>
    </font>
  </fonts>
  <fills count="4">
    <fill>
      <patternFill patternType="none"/>
    </fill>
    <fill>
      <patternFill patternType="gray125"/>
    </fill>
    <fill>
      <patternFill patternType="solid">
        <fgColor theme="4" tint="0.79998168889431442"/>
        <bgColor theme="4" tint="0.79998168889431442"/>
      </patternFill>
    </fill>
    <fill>
      <patternFill patternType="solid">
        <fgColor rgb="FFFFFF00"/>
        <bgColor indexed="64"/>
      </patternFill>
    </fill>
  </fills>
  <borders count="2">
    <border>
      <left/>
      <right/>
      <top/>
      <bottom/>
      <diagonal/>
    </border>
    <border>
      <left/>
      <right/>
      <top style="thin">
        <color theme="4" tint="0.39997558519241921"/>
      </top>
      <bottom style="thin">
        <color theme="4" tint="0.39997558519241921"/>
      </bottom>
      <diagonal/>
    </border>
  </borders>
  <cellStyleXfs count="2">
    <xf numFmtId="0" fontId="0" fillId="0" borderId="0"/>
    <xf numFmtId="41" fontId="2" fillId="0" borderId="0" applyFont="0" applyFill="0" applyBorder="0" applyAlignment="0" applyProtection="0"/>
  </cellStyleXfs>
  <cellXfs count="26">
    <xf numFmtId="0" fontId="0" fillId="0" borderId="0" xfId="0"/>
    <xf numFmtId="0" fontId="1" fillId="0" borderId="0" xfId="0" applyFont="1"/>
    <xf numFmtId="14" fontId="0" fillId="0" borderId="0" xfId="0" applyNumberFormat="1"/>
    <xf numFmtId="0" fontId="0" fillId="0" borderId="0" xfId="0" applyAlignment="1">
      <alignment horizontal="center"/>
    </xf>
    <xf numFmtId="164" fontId="0" fillId="0" borderId="0" xfId="0" applyNumberFormat="1"/>
    <xf numFmtId="164" fontId="0" fillId="0" borderId="0" xfId="0" applyNumberFormat="1" applyAlignment="1">
      <alignment horizontal="center"/>
    </xf>
    <xf numFmtId="14" fontId="0" fillId="0" borderId="0" xfId="0" applyNumberFormat="1" applyAlignment="1">
      <alignment horizontal="center"/>
    </xf>
    <xf numFmtId="0" fontId="1" fillId="0" borderId="0" xfId="0" applyFont="1" applyAlignment="1">
      <alignment horizontal="center"/>
    </xf>
    <xf numFmtId="164" fontId="1" fillId="0" borderId="0" xfId="0" applyNumberFormat="1" applyFont="1" applyAlignment="1">
      <alignment horizontal="center"/>
    </xf>
    <xf numFmtId="14" fontId="1" fillId="0" borderId="0" xfId="0" applyNumberFormat="1" applyFont="1" applyAlignment="1">
      <alignment horizontal="center"/>
    </xf>
    <xf numFmtId="0" fontId="0" fillId="0" borderId="0" xfId="0" applyAlignment="1">
      <alignment horizontal="left"/>
    </xf>
    <xf numFmtId="0" fontId="0" fillId="0" borderId="0" xfId="0" pivotButton="1"/>
    <xf numFmtId="10" fontId="0" fillId="0" borderId="0" xfId="0" applyNumberFormat="1"/>
    <xf numFmtId="165" fontId="0" fillId="0" borderId="0" xfId="0" applyNumberFormat="1"/>
    <xf numFmtId="14" fontId="0" fillId="0" borderId="0" xfId="0" applyNumberFormat="1" applyAlignment="1">
      <alignment horizontal="left" indent="1"/>
    </xf>
    <xf numFmtId="41" fontId="0" fillId="0" borderId="0" xfId="0" applyNumberFormat="1"/>
    <xf numFmtId="3" fontId="0" fillId="0" borderId="0" xfId="0" applyNumberFormat="1" applyAlignment="1">
      <alignment horizontal="center"/>
    </xf>
    <xf numFmtId="164" fontId="0" fillId="2" borderId="1" xfId="0" applyNumberFormat="1" applyFill="1" applyBorder="1" applyAlignment="1">
      <alignment horizontal="center"/>
    </xf>
    <xf numFmtId="164" fontId="0" fillId="0" borderId="1" xfId="0" applyNumberFormat="1" applyBorder="1" applyAlignment="1">
      <alignment horizontal="center"/>
    </xf>
    <xf numFmtId="41" fontId="0" fillId="0" borderId="0" xfId="1" applyFont="1" applyAlignment="1">
      <alignment horizontal="center"/>
    </xf>
    <xf numFmtId="41" fontId="0" fillId="0" borderId="0" xfId="0" pivotButton="1" applyNumberFormat="1"/>
    <xf numFmtId="41" fontId="0" fillId="0" borderId="0" xfId="0" applyNumberFormat="1" applyAlignment="1">
      <alignment horizontal="left"/>
    </xf>
    <xf numFmtId="0" fontId="1" fillId="0" borderId="0" xfId="0" quotePrefix="1" applyFont="1"/>
    <xf numFmtId="0" fontId="4" fillId="3" borderId="0" xfId="0" applyFont="1" applyFill="1" applyAlignment="1">
      <alignment horizontal="center"/>
    </xf>
    <xf numFmtId="0" fontId="1" fillId="0" borderId="0" xfId="0" applyFont="1" applyFill="1" applyAlignment="1">
      <alignment horizontal="center"/>
    </xf>
    <xf numFmtId="0" fontId="3" fillId="0" borderId="0" xfId="0" applyFont="1" applyAlignment="1">
      <alignment horizontal="center"/>
    </xf>
  </cellXfs>
  <cellStyles count="2">
    <cellStyle name="Comma [0]" xfId="1" builtinId="6"/>
    <cellStyle name="Normal" xfId="0" builtinId="0"/>
  </cellStyles>
  <dxfs count="40">
    <dxf>
      <fill>
        <patternFill>
          <bgColor rgb="FFFFFF00"/>
        </patternFill>
      </fill>
    </dxf>
    <dxf>
      <fill>
        <patternFill>
          <bgColor rgb="FFFFFF00"/>
        </patternFill>
      </fill>
    </dxf>
    <dxf>
      <numFmt numFmtId="165" formatCode="&quot;Rp&quot;#,##0;[Red]&quot;Rp&quot;#,##0"/>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164" formatCode="#,##0;[Red]#,##0"/>
      <alignment horizontal="center" vertical="bottom" textRotation="0" wrapText="0" indent="0" justifyLastLine="0" shrinkToFit="0" readingOrder="0"/>
    </dxf>
    <dxf>
      <numFmt numFmtId="164" formatCode="#,##0;[Red]#,##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9" formatCode="dd/mm/yyyy"/>
      <alignment horizontal="center" vertical="bottom" textRotation="0" wrapText="0" indent="0" justifyLastLine="0" shrinkToFit="0" readingOrder="0"/>
    </dxf>
    <dxf>
      <numFmt numFmtId="19" formatCode="dd/mm/yyyy"/>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theme" Target="theme/them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11/relationships/timelineCache" Target="timelineCaches/timelineCache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11/relationships/timelineCache" Target="timelineCaches/timelineCache1.xml"/><Relationship Id="rId5" Type="http://schemas.openxmlformats.org/officeDocument/2006/relationships/worksheet" Target="worksheets/sheet5.xml"/><Relationship Id="rId15" Type="http://schemas.openxmlformats.org/officeDocument/2006/relationships/sharedStrings" Target="sharedStrings.xml"/><Relationship Id="rId10" Type="http://schemas.microsoft.com/office/2007/relationships/slicerCache" Target="slicerCaches/slicerCache2.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pivotSource>
    <c:name>[Portofolio_Intermediate-Excel.xlsm]Portfolio-PIVOT+Chart!PivotTable5</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a:t>
            </a:r>
            <a:r>
              <a:rPr lang="en-US" baseline="0"/>
              <a:t> Sales per Category</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'Portfolio-PIVOT+Chart'!$D$4</c:f>
              <c:strCache>
                <c:ptCount val="1"/>
                <c:pt idx="0">
                  <c:v>Total</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'Portfolio-PIVOT+Chart'!$C$5:$C$9</c:f>
              <c:strCache>
                <c:ptCount val="4"/>
                <c:pt idx="0">
                  <c:v>Accessories</c:v>
                </c:pt>
                <c:pt idx="1">
                  <c:v>Apparel</c:v>
                </c:pt>
                <c:pt idx="2">
                  <c:v>Electronics</c:v>
                </c:pt>
                <c:pt idx="3">
                  <c:v>Footwear</c:v>
                </c:pt>
              </c:strCache>
            </c:strRef>
          </c:cat>
          <c:val>
            <c:numRef>
              <c:f>'Portfolio-PIVOT+Chart'!$D$5:$D$9</c:f>
              <c:numCache>
                <c:formatCode>"Rp"#,##0;[Red]"Rp"#,##0</c:formatCode>
                <c:ptCount val="4"/>
                <c:pt idx="0">
                  <c:v>4255000</c:v>
                </c:pt>
                <c:pt idx="1">
                  <c:v>12570000</c:v>
                </c:pt>
                <c:pt idx="2">
                  <c:v>12935000</c:v>
                </c:pt>
                <c:pt idx="3">
                  <c:v>11430000</c:v>
                </c:pt>
              </c:numCache>
            </c:numRef>
          </c:val>
          <c:extLst>
            <c:ext xmlns:c16="http://schemas.microsoft.com/office/drawing/2014/chart" uri="{C3380CC4-5D6E-409C-BE32-E72D297353CC}">
              <c16:uniqueId val="{00000000-D898-4517-BD10-7497EF05379F}"/>
            </c:ext>
          </c:extLst>
        </c:ser>
        <c:dLbls>
          <c:dLblPos val="outEnd"/>
          <c:showLegendKey val="0"/>
          <c:showVal val="1"/>
          <c:showCatName val="0"/>
          <c:showSerName val="0"/>
          <c:showPercent val="0"/>
          <c:showBubbleSize val="0"/>
        </c:dLbls>
        <c:gapWidth val="219"/>
        <c:overlap val="-27"/>
        <c:axId val="775229168"/>
        <c:axId val="775217104"/>
      </c:barChart>
      <c:catAx>
        <c:axId val="7752291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5217104"/>
        <c:crosses val="autoZero"/>
        <c:auto val="1"/>
        <c:lblAlgn val="ctr"/>
        <c:lblOffset val="100"/>
        <c:noMultiLvlLbl val="0"/>
      </c:catAx>
      <c:valAx>
        <c:axId val="775217104"/>
        <c:scaling>
          <c:orientation val="minMax"/>
        </c:scaling>
        <c:delete val="0"/>
        <c:axPos val="l"/>
        <c:majorGridlines>
          <c:spPr>
            <a:ln w="9525" cap="flat" cmpd="sng" algn="ctr">
              <a:solidFill>
                <a:schemeClr val="tx1">
                  <a:lumMod val="15000"/>
                  <a:lumOff val="85000"/>
                </a:schemeClr>
              </a:solidFill>
              <a:round/>
            </a:ln>
            <a:effectLst/>
          </c:spPr>
        </c:majorGridlines>
        <c:numFmt formatCode="&quot;Rp&quot;#,##0;[Red]&quot;Rp&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522916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[Portofolio_Intermediate-Excel.xlsm]Portfolio-PIVOT+Chart!PivotTable6</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Sales</a:t>
            </a:r>
            <a:r>
              <a:rPr lang="en-US" baseline="0"/>
              <a:t> per Date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
        <c:spPr>
          <a:ln w="28575" cap="sq">
            <a:solidFill>
              <a:schemeClr val="accent2">
                <a:alpha val="66000"/>
              </a:schemeClr>
            </a:solidFill>
            <a:prstDash val="sysDash"/>
            <a:round/>
          </a:ln>
          <a:effectLst/>
        </c:spPr>
        <c:marker>
          <c:symbol val="circle"/>
          <c:size val="5"/>
          <c:spPr>
            <a:solidFill>
              <a:schemeClr val="accent2">
                <a:alpha val="90000"/>
              </a:schemeClr>
            </a:solidFill>
            <a:ln w="9525">
              <a:solidFill>
                <a:schemeClr val="accent2">
                  <a:alpha val="90000"/>
                </a:schemeClr>
              </a:solidFill>
            </a:ln>
            <a:effectLst/>
          </c:spPr>
        </c:marker>
      </c:pivotFmt>
    </c:pivotFmts>
    <c:plotArea>
      <c:layout/>
      <c:lineChart>
        <c:grouping val="standard"/>
        <c:varyColors val="0"/>
        <c:ser>
          <c:idx val="0"/>
          <c:order val="0"/>
          <c:tx>
            <c:strRef>
              <c:f>'Portfolio-PIVOT+Chart'!$D$24</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Pt>
            <c:idx val="4"/>
            <c:marker>
              <c:symbol val="circle"/>
              <c:size val="5"/>
              <c:spPr>
                <a:solidFill>
                  <a:schemeClr val="accent2">
                    <a:alpha val="90000"/>
                  </a:schemeClr>
                </a:solidFill>
                <a:ln w="9525">
                  <a:solidFill>
                    <a:schemeClr val="accent2">
                      <a:alpha val="90000"/>
                    </a:schemeClr>
                  </a:solidFill>
                </a:ln>
                <a:effectLst/>
              </c:spPr>
            </c:marker>
            <c:bubble3D val="0"/>
            <c:spPr>
              <a:ln w="28575" cap="sq">
                <a:solidFill>
                  <a:schemeClr val="accent2">
                    <a:alpha val="66000"/>
                  </a:schemeClr>
                </a:solidFill>
                <a:prstDash val="sysDash"/>
                <a:round/>
              </a:ln>
              <a:effectLst/>
            </c:spPr>
            <c:extLst>
              <c:ext xmlns:c16="http://schemas.microsoft.com/office/drawing/2014/chart" uri="{C3380CC4-5D6E-409C-BE32-E72D297353CC}">
                <c16:uniqueId val="{00000002-02F4-413D-8F1D-330F475CB273}"/>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'Portfolio-PIVOT+Chart'!$C$25:$C$31</c:f>
              <c:multiLvlStrCache>
                <c:ptCount val="5"/>
                <c:lvl>
                  <c:pt idx="0">
                    <c:v>Jan</c:v>
                  </c:pt>
                  <c:pt idx="1">
                    <c:v>Feb</c:v>
                  </c:pt>
                  <c:pt idx="2">
                    <c:v>Mar</c:v>
                  </c:pt>
                  <c:pt idx="3">
                    <c:v>Apr</c:v>
                  </c:pt>
                  <c:pt idx="4">
                    <c:v>May</c:v>
                  </c:pt>
                </c:lvl>
                <c:lvl>
                  <c:pt idx="0">
                    <c:v>2024</c:v>
                  </c:pt>
                </c:lvl>
              </c:multiLvlStrCache>
            </c:multiLvlStrRef>
          </c:cat>
          <c:val>
            <c:numRef>
              <c:f>'Portfolio-PIVOT+Chart'!$D$25:$D$31</c:f>
              <c:numCache>
                <c:formatCode>"Rp"#,##0;[Red]"Rp"#,##0</c:formatCode>
                <c:ptCount val="5"/>
                <c:pt idx="0">
                  <c:v>9035000</c:v>
                </c:pt>
                <c:pt idx="1">
                  <c:v>10050000</c:v>
                </c:pt>
                <c:pt idx="2">
                  <c:v>9455000</c:v>
                </c:pt>
                <c:pt idx="3">
                  <c:v>9460000</c:v>
                </c:pt>
                <c:pt idx="4">
                  <c:v>3190000</c:v>
                </c:pt>
              </c:numCache>
            </c:numRef>
          </c:val>
          <c:smooth val="0"/>
          <c:extLst>
            <c:ext xmlns:c16="http://schemas.microsoft.com/office/drawing/2014/chart" uri="{C3380CC4-5D6E-409C-BE32-E72D297353CC}">
              <c16:uniqueId val="{00000000-C562-48A4-9881-C00194F526DD}"/>
            </c:ext>
          </c:extLst>
        </c:ser>
        <c:dLbls>
          <c:dLblPos val="t"/>
          <c:showLegendKey val="0"/>
          <c:showVal val="1"/>
          <c:showCatName val="0"/>
          <c:showSerName val="0"/>
          <c:showPercent val="0"/>
          <c:showBubbleSize val="0"/>
        </c:dLbls>
        <c:marker val="1"/>
        <c:smooth val="0"/>
        <c:axId val="697344976"/>
        <c:axId val="697347472"/>
      </c:lineChart>
      <c:catAx>
        <c:axId val="6973449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7347472"/>
        <c:crosses val="autoZero"/>
        <c:auto val="1"/>
        <c:lblAlgn val="ctr"/>
        <c:lblOffset val="100"/>
        <c:noMultiLvlLbl val="0"/>
      </c:catAx>
      <c:valAx>
        <c:axId val="697347472"/>
        <c:scaling>
          <c:orientation val="minMax"/>
        </c:scaling>
        <c:delete val="0"/>
        <c:axPos val="l"/>
        <c:majorGridlines>
          <c:spPr>
            <a:ln w="9525" cap="flat" cmpd="sng" algn="ctr">
              <a:solidFill>
                <a:schemeClr val="tx1">
                  <a:lumMod val="15000"/>
                  <a:lumOff val="85000"/>
                </a:schemeClr>
              </a:solidFill>
              <a:round/>
            </a:ln>
            <a:effectLst/>
          </c:spPr>
        </c:majorGridlines>
        <c:numFmt formatCode="&quot;Rp&quot;#,##0;[Red]&quot;Rp&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734497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[Portofolio_Intermediate-Excel.xlsm]Portfolio-PIVOT+Chart!PivotTable8</c:name>
    <c:fmtId val="1"/>
  </c:pivotSource>
  <c:chart>
    <c:title>
      <c:tx>
        <c:rich>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r>
              <a:rPr lang="en-US"/>
              <a:t>Total Sales &gt;= 200.000 (High vs Low) </a:t>
            </a:r>
          </a:p>
        </c:rich>
      </c:tx>
      <c:overlay val="0"/>
      <c:spPr>
        <a:noFill/>
        <a:ln>
          <a:noFill/>
        </a:ln>
        <a:effectLst/>
      </c:spPr>
      <c:txPr>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2"/>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2"/>
          </a:solidFill>
          <a:ln>
            <a:noFill/>
          </a:ln>
          <a:effectLst/>
          <a:scene3d>
            <a:camera prst="orthographicFront"/>
            <a:lightRig rig="brightRoom" dir="t"/>
          </a:scene3d>
          <a:sp3d prstMaterial="flat">
            <a:bevelT w="50800" h="101600" prst="angle"/>
            <a:contourClr>
              <a:srgbClr val="000000"/>
            </a:contourClr>
          </a:sp3d>
        </c:spPr>
        <c:marker>
          <c:symbol val="none"/>
        </c:marker>
        <c:dLbl>
          <c:idx val="0"/>
          <c:dLblPos val="inEnd"/>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2"/>
          </a:solidFill>
          <a:ln>
            <a:noFill/>
          </a:ln>
          <a:effectLst/>
          <a:scene3d>
            <a:camera prst="orthographicFront"/>
            <a:lightRig rig="brightRoom" dir="t"/>
          </a:scene3d>
          <a:sp3d prstMaterial="flat">
            <a:bevelT w="50800" h="101600" prst="angle"/>
            <a:contourClr>
              <a:srgbClr val="000000"/>
            </a:contourClr>
          </a:sp3d>
        </c:spPr>
        <c:marker>
          <c:symbol val="none"/>
        </c:marker>
        <c:dLbl>
          <c:idx val="0"/>
          <c:dLblPos val="inEnd"/>
          <c:showLegendKey val="0"/>
          <c:showVal val="0"/>
          <c:showCatName val="0"/>
          <c:showSerName val="0"/>
          <c:showPercent val="1"/>
          <c:showBubbleSize val="0"/>
          <c:extLst>
            <c:ext xmlns:c15="http://schemas.microsoft.com/office/drawing/2012/chart" uri="{CE6537A1-D6FC-4f65-9D91-7224C49458BB}"/>
          </c:extLst>
        </c:dLbl>
      </c:pivotFmt>
      <c:pivotFmt>
        <c:idx val="3"/>
        <c:spPr>
          <a:solidFill>
            <a:schemeClr val="accent2"/>
          </a:solidFill>
          <a:ln>
            <a:noFill/>
          </a:ln>
          <a:effectLst/>
          <a:scene3d>
            <a:camera prst="orthographicFront"/>
            <a:lightRig rig="brightRoom" dir="t"/>
          </a:scene3d>
          <a:sp3d prstMaterial="flat">
            <a:bevelT w="50800" h="101600" prst="angle"/>
            <a:contourClr>
              <a:srgbClr val="000000"/>
            </a:contourClr>
          </a:sp3d>
        </c:spPr>
        <c:marker>
          <c:symbol val="none"/>
        </c:marker>
        <c:dLbl>
          <c:idx val="0"/>
          <c:dLblPos val="inEnd"/>
          <c:showLegendKey val="0"/>
          <c:showVal val="0"/>
          <c:showCatName val="0"/>
          <c:showSerName val="0"/>
          <c:showPercent val="1"/>
          <c:showBubbleSize val="0"/>
          <c:extLst>
            <c:ext xmlns:c15="http://schemas.microsoft.com/office/drawing/2012/chart" uri="{CE6537A1-D6FC-4f65-9D91-7224C49458BB}"/>
          </c:extLst>
        </c:dLbl>
      </c:pivotFmt>
      <c:pivotFmt>
        <c:idx val="4"/>
        <c:spPr>
          <a:solidFill>
            <a:schemeClr val="accent2">
              <a:shade val="76000"/>
            </a:schemeClr>
          </a:solidFill>
          <a:ln>
            <a:noFill/>
          </a:ln>
          <a:effectLst/>
          <a:scene3d>
            <a:camera prst="orthographicFront"/>
            <a:lightRig rig="brightRoom" dir="t"/>
          </a:scene3d>
          <a:sp3d prstMaterial="flat">
            <a:bevelT w="50800" h="101600" prst="angle"/>
            <a:contourClr>
              <a:srgbClr val="000000"/>
            </a:contourClr>
          </a:sp3d>
        </c:spPr>
      </c:pivotFmt>
      <c:pivotFmt>
        <c:idx val="5"/>
        <c:spPr>
          <a:solidFill>
            <a:schemeClr val="accent2">
              <a:tint val="77000"/>
            </a:schemeClr>
          </a:solidFill>
          <a:ln>
            <a:noFill/>
          </a:ln>
          <a:effectLst/>
          <a:scene3d>
            <a:camera prst="orthographicFront"/>
            <a:lightRig rig="brightRoom" dir="t"/>
          </a:scene3d>
          <a:sp3d prstMaterial="flat">
            <a:bevelT w="50800" h="101600" prst="angle"/>
            <a:contourClr>
              <a:srgbClr val="000000"/>
            </a:contourClr>
          </a:sp3d>
        </c:spPr>
      </c:pivotFmt>
      <c:pivotFmt>
        <c:idx val="6"/>
        <c:spPr>
          <a:solidFill>
            <a:schemeClr val="accent2"/>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7"/>
        <c:spPr>
          <a:solidFill>
            <a:schemeClr val="accent2">
              <a:shade val="76000"/>
            </a:schemeClr>
          </a:solidFill>
          <a:ln>
            <a:noFill/>
          </a:ln>
          <a:effectLst/>
          <a:scene3d>
            <a:camera prst="orthographicFront"/>
            <a:lightRig rig="brightRoom" dir="t"/>
          </a:scene3d>
          <a:sp3d prstMaterial="flat">
            <a:bevelT w="50800" h="101600" prst="angle"/>
            <a:contourClr>
              <a:srgbClr val="000000"/>
            </a:contourClr>
          </a:sp3d>
        </c:spPr>
      </c:pivotFmt>
      <c:pivotFmt>
        <c:idx val="8"/>
        <c:spPr>
          <a:solidFill>
            <a:schemeClr val="accent2">
              <a:tint val="77000"/>
            </a:schemeClr>
          </a:solidFill>
          <a:ln>
            <a:noFill/>
          </a:ln>
          <a:effectLst/>
          <a:scene3d>
            <a:camera prst="orthographicFront"/>
            <a:lightRig rig="brightRoom" dir="t"/>
          </a:scene3d>
          <a:sp3d prstMaterial="flat">
            <a:bevelT w="50800" h="101600" prst="angle"/>
            <a:contourClr>
              <a:srgbClr val="000000"/>
            </a:contourClr>
          </a:sp3d>
        </c:spPr>
      </c:pivotFmt>
    </c:pivotFmts>
    <c:plotArea>
      <c:layout/>
      <c:pieChart>
        <c:varyColors val="1"/>
        <c:ser>
          <c:idx val="0"/>
          <c:order val="0"/>
          <c:tx>
            <c:strRef>
              <c:f>'Portfolio-PIVOT+Chart'!$D$74</c:f>
              <c:strCache>
                <c:ptCount val="1"/>
                <c:pt idx="0">
                  <c:v>Total</c:v>
                </c:pt>
              </c:strCache>
            </c:strRef>
          </c:tx>
          <c:dPt>
            <c:idx val="0"/>
            <c:bubble3D val="0"/>
            <c:spPr>
              <a:solidFill>
                <a:schemeClr val="accent2">
                  <a:shade val="76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0D6B-4ECB-8FDD-328C2BFA5EF4}"/>
              </c:ext>
            </c:extLst>
          </c:dPt>
          <c:dPt>
            <c:idx val="1"/>
            <c:bubble3D val="0"/>
            <c:spPr>
              <a:solidFill>
                <a:schemeClr val="accent2">
                  <a:tint val="77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0D6B-4ECB-8FDD-328C2BFA5EF4}"/>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'Portfolio-PIVOT+Chart'!$C$75:$C$77</c:f>
              <c:strCache>
                <c:ptCount val="2"/>
                <c:pt idx="0">
                  <c:v>High</c:v>
                </c:pt>
                <c:pt idx="1">
                  <c:v>Low</c:v>
                </c:pt>
              </c:strCache>
            </c:strRef>
          </c:cat>
          <c:val>
            <c:numRef>
              <c:f>'Portfolio-PIVOT+Chart'!$D$75:$D$77</c:f>
              <c:numCache>
                <c:formatCode>General</c:formatCode>
                <c:ptCount val="2"/>
                <c:pt idx="0">
                  <c:v>35165000</c:v>
                </c:pt>
                <c:pt idx="1">
                  <c:v>6025000</c:v>
                </c:pt>
              </c:numCache>
            </c:numRef>
          </c:val>
          <c:extLst>
            <c:ext xmlns:c16="http://schemas.microsoft.com/office/drawing/2014/chart" uri="{C3380CC4-5D6E-409C-BE32-E72D297353CC}">
              <c16:uniqueId val="{00000004-0D6B-4ECB-8FDD-328C2BFA5EF4}"/>
            </c:ext>
          </c:extLst>
        </c:ser>
        <c:dLbls>
          <c:dLblPos val="inEnd"/>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[Portofolio_Intermediate-Excel.xlsm]Portfolio-PIVOT+Chart!PivotTable10</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Percentage Total Sales</a:t>
            </a:r>
            <a:r>
              <a:rPr lang="en-US" baseline="0"/>
              <a:t> per Region</a:t>
            </a:r>
          </a:p>
        </c:rich>
      </c:tx>
      <c:layout>
        <c:manualLayout>
          <c:xMode val="edge"/>
          <c:yMode val="edge"/>
          <c:x val="0.34266154773032587"/>
          <c:y val="0.1100904053659959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6"/>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6"/>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6"/>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6"/>
          </a:solidFill>
          <a:ln>
            <a:noFill/>
          </a:ln>
          <a:effectLst/>
          <a:sp3d/>
        </c:spPr>
        <c:dLbl>
          <c:idx val="0"/>
          <c:layout>
            <c:manualLayout>
              <c:x val="1.4962343786356582E-2"/>
              <c:y val="-2.538967003139297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6"/>
          </a:solidFill>
          <a:ln>
            <a:noFill/>
          </a:ln>
          <a:effectLst/>
          <a:sp3d/>
        </c:spPr>
        <c:dLbl>
          <c:idx val="0"/>
          <c:layout>
            <c:manualLayout>
              <c:x val="1.9949791715142107E-2"/>
              <c:y val="-7.2541914375408734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6"/>
          </a:solidFill>
          <a:ln>
            <a:noFill/>
          </a:ln>
          <a:effectLst/>
          <a:sp3d/>
        </c:spPr>
        <c:dLbl>
          <c:idx val="0"/>
          <c:layout>
            <c:manualLayout>
              <c:x val="1.9949791715142131E-2"/>
              <c:y val="-2.176257431262255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6"/>
          </a:solidFill>
          <a:ln>
            <a:noFill/>
          </a:ln>
          <a:effectLst/>
          <a:sp3d/>
        </c:spPr>
        <c:dLbl>
          <c:idx val="0"/>
          <c:layout>
            <c:manualLayout>
              <c:x val="1.7456067750749253E-2"/>
              <c:y val="-1.813547859385210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'Portfolio-PIVOT+Chart'!$Q$37</c:f>
              <c:strCache>
                <c:ptCount val="1"/>
                <c:pt idx="0">
                  <c:v>Total</c:v>
                </c:pt>
              </c:strCache>
            </c:strRef>
          </c:tx>
          <c:spPr>
            <a:solidFill>
              <a:schemeClr val="accent6"/>
            </a:solidFill>
            <a:ln>
              <a:noFill/>
            </a:ln>
            <a:effectLst/>
            <a:sp3d/>
          </c:spPr>
          <c:invertIfNegative val="0"/>
          <c:dPt>
            <c:idx val="0"/>
            <c:invertIfNegative val="0"/>
            <c:bubble3D val="0"/>
            <c:spPr>
              <a:solidFill>
                <a:schemeClr val="accent6"/>
              </a:solidFill>
              <a:ln>
                <a:noFill/>
              </a:ln>
              <a:effectLst/>
              <a:sp3d/>
            </c:spPr>
            <c:extLst>
              <c:ext xmlns:c16="http://schemas.microsoft.com/office/drawing/2014/chart" uri="{C3380CC4-5D6E-409C-BE32-E72D297353CC}">
                <c16:uniqueId val="{00000003-37C7-43FA-B3E1-672625046A15}"/>
              </c:ext>
            </c:extLst>
          </c:dPt>
          <c:dPt>
            <c:idx val="1"/>
            <c:invertIfNegative val="0"/>
            <c:bubble3D val="0"/>
            <c:spPr>
              <a:solidFill>
                <a:schemeClr val="accent6"/>
              </a:solidFill>
              <a:ln>
                <a:noFill/>
              </a:ln>
              <a:effectLst/>
              <a:sp3d/>
            </c:spPr>
            <c:extLst>
              <c:ext xmlns:c16="http://schemas.microsoft.com/office/drawing/2014/chart" uri="{C3380CC4-5D6E-409C-BE32-E72D297353CC}">
                <c16:uniqueId val="{00000002-37C7-43FA-B3E1-672625046A15}"/>
              </c:ext>
            </c:extLst>
          </c:dPt>
          <c:dPt>
            <c:idx val="2"/>
            <c:invertIfNegative val="0"/>
            <c:bubble3D val="0"/>
            <c:spPr>
              <a:solidFill>
                <a:schemeClr val="accent6"/>
              </a:solidFill>
              <a:ln>
                <a:noFill/>
              </a:ln>
              <a:effectLst/>
              <a:sp3d/>
            </c:spPr>
            <c:extLst>
              <c:ext xmlns:c16="http://schemas.microsoft.com/office/drawing/2014/chart" uri="{C3380CC4-5D6E-409C-BE32-E72D297353CC}">
                <c16:uniqueId val="{00000001-37C7-43FA-B3E1-672625046A15}"/>
              </c:ext>
            </c:extLst>
          </c:dPt>
          <c:dPt>
            <c:idx val="3"/>
            <c:invertIfNegative val="0"/>
            <c:bubble3D val="0"/>
            <c:spPr>
              <a:solidFill>
                <a:schemeClr val="accent6"/>
              </a:solidFill>
              <a:ln>
                <a:noFill/>
              </a:ln>
              <a:effectLst/>
              <a:sp3d/>
            </c:spPr>
            <c:extLst>
              <c:ext xmlns:c16="http://schemas.microsoft.com/office/drawing/2014/chart" uri="{C3380CC4-5D6E-409C-BE32-E72D297353CC}">
                <c16:uniqueId val="{00000004-37C7-43FA-B3E1-672625046A15}"/>
              </c:ext>
            </c:extLst>
          </c:dPt>
          <c:dLbls>
            <c:dLbl>
              <c:idx val="0"/>
              <c:layout>
                <c:manualLayout>
                  <c:x val="1.9949791715142131E-2"/>
                  <c:y val="-2.176257431262255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37C7-43FA-B3E1-672625046A15}"/>
                </c:ext>
              </c:extLst>
            </c:dLbl>
            <c:dLbl>
              <c:idx val="1"/>
              <c:layout>
                <c:manualLayout>
                  <c:x val="1.9949791715142107E-2"/>
                  <c:y val="-7.2541914375408734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37C7-43FA-B3E1-672625046A15}"/>
                </c:ext>
              </c:extLst>
            </c:dLbl>
            <c:dLbl>
              <c:idx val="2"/>
              <c:layout>
                <c:manualLayout>
                  <c:x val="1.4962343786356582E-2"/>
                  <c:y val="-2.538967003139297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37C7-43FA-B3E1-672625046A15}"/>
                </c:ext>
              </c:extLst>
            </c:dLbl>
            <c:dLbl>
              <c:idx val="3"/>
              <c:layout>
                <c:manualLayout>
                  <c:x val="1.7456067750749253E-2"/>
                  <c:y val="-1.8135478593852103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37C7-43FA-B3E1-672625046A1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'Portfolio-PIVOT+Chart'!$P$38:$P$42</c:f>
              <c:strCache>
                <c:ptCount val="4"/>
                <c:pt idx="0">
                  <c:v>West</c:v>
                </c:pt>
                <c:pt idx="1">
                  <c:v>East</c:v>
                </c:pt>
                <c:pt idx="2">
                  <c:v>North</c:v>
                </c:pt>
                <c:pt idx="3">
                  <c:v>South</c:v>
                </c:pt>
              </c:strCache>
            </c:strRef>
          </c:cat>
          <c:val>
            <c:numRef>
              <c:f>'Portfolio-PIVOT+Chart'!$Q$38:$Q$42</c:f>
              <c:numCache>
                <c:formatCode>0.00%</c:formatCode>
                <c:ptCount val="4"/>
                <c:pt idx="0">
                  <c:v>0.28004369992716677</c:v>
                </c:pt>
                <c:pt idx="1">
                  <c:v>0.2734887108521486</c:v>
                </c:pt>
                <c:pt idx="2">
                  <c:v>0.23452294246176256</c:v>
                </c:pt>
                <c:pt idx="3">
                  <c:v>0.21194464675892208</c:v>
                </c:pt>
              </c:numCache>
            </c:numRef>
          </c:val>
          <c:extLst>
            <c:ext xmlns:c16="http://schemas.microsoft.com/office/drawing/2014/chart" uri="{C3380CC4-5D6E-409C-BE32-E72D297353CC}">
              <c16:uniqueId val="{00000000-3816-4C95-8EE3-73BF6526462B}"/>
            </c:ext>
          </c:extLst>
        </c:ser>
        <c:dLbls>
          <c:showLegendKey val="0"/>
          <c:showVal val="1"/>
          <c:showCatName val="0"/>
          <c:showSerName val="0"/>
          <c:showPercent val="0"/>
          <c:showBubbleSize val="0"/>
        </c:dLbls>
        <c:gapWidth val="150"/>
        <c:shape val="box"/>
        <c:axId val="863840800"/>
        <c:axId val="863849536"/>
        <c:axId val="0"/>
      </c:bar3DChart>
      <c:catAx>
        <c:axId val="86384080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3849536"/>
        <c:crosses val="autoZero"/>
        <c:auto val="1"/>
        <c:lblAlgn val="ctr"/>
        <c:lblOffset val="100"/>
        <c:noMultiLvlLbl val="0"/>
      </c:catAx>
      <c:valAx>
        <c:axId val="8638495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384080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[Portofolio_Intermediate-Excel.xlsm]Portfolio-PIVOT+Chart!PivotTable9</c:name>
    <c:fmtId val="3"/>
  </c:pivotSource>
  <c:chart>
    <c:title>
      <c:tx>
        <c:rich>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r>
              <a:rPr lang="en-ID"/>
              <a:t>Tren Harga jual</a:t>
            </a:r>
          </a:p>
        </c:rich>
      </c:tx>
      <c:overlay val="0"/>
      <c:spPr>
        <a:noFill/>
        <a:ln>
          <a:noFill/>
        </a:ln>
        <a:effectLst/>
      </c:spPr>
      <c:txPr>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endParaRPr lang="en-US"/>
        </a:p>
      </c:txPr>
    </c:title>
    <c:autoTitleDeleted val="0"/>
    <c:pivotFmts>
      <c:pivotFmt>
        <c:idx val="0"/>
        <c:spPr>
          <a:pattFill prst="narHorz">
            <a:fgClr>
              <a:schemeClr val="accent1"/>
            </a:fgClr>
            <a:bgClr>
              <a:schemeClr val="accent1">
                <a:lumMod val="20000"/>
                <a:lumOff val="80000"/>
              </a:schemeClr>
            </a:bgClr>
          </a:pattFill>
          <a:ln>
            <a:noFill/>
          </a:ln>
          <a:effectLst>
            <a:innerShdw blurRad="114300">
              <a:schemeClr val="accen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pattFill prst="narHorz">
            <a:fgClr>
              <a:schemeClr val="accent1"/>
            </a:fgClr>
            <a:bgClr>
              <a:schemeClr val="accent1">
                <a:lumMod val="20000"/>
                <a:lumOff val="80000"/>
              </a:schemeClr>
            </a:bgClr>
          </a:pattFill>
          <a:ln>
            <a:noFill/>
          </a:ln>
          <a:effectLst>
            <a:innerShdw blurRad="114300">
              <a:schemeClr val="accen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5">
                <a:lumMod val="75000"/>
              </a:schemeClr>
            </a:solidFill>
            <a:round/>
          </a:ln>
          <a:effectLst/>
        </c:spPr>
        <c:marker>
          <c:symbol val="circle"/>
          <c:size val="6"/>
          <c:spPr>
            <a:solidFill>
              <a:schemeClr val="accent5">
                <a:lumMod val="75000"/>
              </a:schemeClr>
            </a:solidFill>
            <a:ln>
              <a:solidFill>
                <a:schemeClr val="accent5">
                  <a:lumMod val="75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'Portfolio-PIVOT+Chart'!$R$5</c:f>
              <c:strCache>
                <c:ptCount val="1"/>
                <c:pt idx="0">
                  <c:v>Sum of Quantity</c:v>
                </c:pt>
              </c:strCache>
            </c:strRef>
          </c:tx>
          <c:spPr>
            <a:pattFill prst="narHorz">
              <a:fgClr>
                <a:schemeClr val="accent1"/>
              </a:fgClr>
              <a:bgClr>
                <a:schemeClr val="accent1">
                  <a:lumMod val="20000"/>
                  <a:lumOff val="80000"/>
                </a:schemeClr>
              </a:bgClr>
            </a:pattFill>
            <a:ln>
              <a:noFill/>
            </a:ln>
            <a:effectLst>
              <a:innerShdw blurRad="114300">
                <a:schemeClr val="accent1"/>
              </a:innerShdw>
            </a:effectLst>
          </c:spPr>
          <c:invertIfNegative val="0"/>
          <c:cat>
            <c:multiLvlStrRef>
              <c:f>'Portfolio-PIVOT+Chart'!$P$6:$Q$12</c:f>
              <c:multiLvlStrCache>
                <c:ptCount val="5"/>
                <c:lvl>
                  <c:pt idx="0">
                    <c:v>Jan</c:v>
                  </c:pt>
                  <c:pt idx="1">
                    <c:v>Feb</c:v>
                  </c:pt>
                  <c:pt idx="2">
                    <c:v>Mar</c:v>
                  </c:pt>
                  <c:pt idx="3">
                    <c:v>Apr</c:v>
                  </c:pt>
                  <c:pt idx="4">
                    <c:v>May</c:v>
                  </c:pt>
                </c:lvl>
                <c:lvl>
                  <c:pt idx="0">
                    <c:v>2024</c:v>
                  </c:pt>
                </c:lvl>
              </c:multiLvlStrCache>
            </c:multiLvlStrRef>
          </c:cat>
          <c:val>
            <c:numRef>
              <c:f>'Portfolio-PIVOT+Chart'!$R$6:$R$12</c:f>
              <c:numCache>
                <c:formatCode>General</c:formatCode>
                <c:ptCount val="5"/>
                <c:pt idx="0">
                  <c:v>85</c:v>
                </c:pt>
                <c:pt idx="1">
                  <c:v>84</c:v>
                </c:pt>
                <c:pt idx="2">
                  <c:v>84</c:v>
                </c:pt>
                <c:pt idx="3">
                  <c:v>77</c:v>
                </c:pt>
                <c:pt idx="4">
                  <c:v>25</c:v>
                </c:pt>
              </c:numCache>
            </c:numRef>
          </c:val>
          <c:extLst>
            <c:ext xmlns:c16="http://schemas.microsoft.com/office/drawing/2014/chart" uri="{C3380CC4-5D6E-409C-BE32-E72D297353CC}">
              <c16:uniqueId val="{00000000-E3C5-4849-9F7E-C897F91C6BE8}"/>
            </c:ext>
          </c:extLst>
        </c:ser>
        <c:ser>
          <c:idx val="1"/>
          <c:order val="1"/>
          <c:tx>
            <c:strRef>
              <c:f>'Portfolio-PIVOT+Chart'!$S$5</c:f>
              <c:strCache>
                <c:ptCount val="1"/>
                <c:pt idx="0">
                  <c:v>Average of Unit_Price</c:v>
                </c:pt>
              </c:strCache>
            </c:strRef>
          </c:tx>
          <c:spPr>
            <a:pattFill prst="narHorz">
              <a:fgClr>
                <a:schemeClr val="accent2"/>
              </a:fgClr>
              <a:bgClr>
                <a:schemeClr val="accent2">
                  <a:lumMod val="20000"/>
                  <a:lumOff val="80000"/>
                </a:schemeClr>
              </a:bgClr>
            </a:pattFill>
            <a:ln>
              <a:noFill/>
            </a:ln>
            <a:effectLst>
              <a:innerShdw blurRad="114300">
                <a:schemeClr val="accent2"/>
              </a:innerShdw>
            </a:effectLst>
          </c:spPr>
          <c:invertIfNegative val="0"/>
          <c:cat>
            <c:multiLvlStrRef>
              <c:f>'Portfolio-PIVOT+Chart'!$P$6:$Q$12</c:f>
              <c:multiLvlStrCache>
                <c:ptCount val="5"/>
                <c:lvl>
                  <c:pt idx="0">
                    <c:v>Jan</c:v>
                  </c:pt>
                  <c:pt idx="1">
                    <c:v>Feb</c:v>
                  </c:pt>
                  <c:pt idx="2">
                    <c:v>Mar</c:v>
                  </c:pt>
                  <c:pt idx="3">
                    <c:v>Apr</c:v>
                  </c:pt>
                  <c:pt idx="4">
                    <c:v>May</c:v>
                  </c:pt>
                </c:lvl>
                <c:lvl>
                  <c:pt idx="0">
                    <c:v>2024</c:v>
                  </c:pt>
                </c:lvl>
              </c:multiLvlStrCache>
            </c:multiLvlStrRef>
          </c:cat>
          <c:val>
            <c:numRef>
              <c:f>'Portfolio-PIVOT+Chart'!$S$6:$S$12</c:f>
              <c:numCache>
                <c:formatCode>General</c:formatCode>
                <c:ptCount val="5"/>
                <c:pt idx="0">
                  <c:v>126000</c:v>
                </c:pt>
                <c:pt idx="1">
                  <c:v>128448.27586206897</c:v>
                </c:pt>
                <c:pt idx="2">
                  <c:v>127903.22580645161</c:v>
                </c:pt>
                <c:pt idx="3">
                  <c:v>139333.33333333334</c:v>
                </c:pt>
                <c:pt idx="4">
                  <c:v>145500</c:v>
                </c:pt>
              </c:numCache>
            </c:numRef>
          </c:val>
          <c:extLst>
            <c:ext xmlns:c16="http://schemas.microsoft.com/office/drawing/2014/chart" uri="{C3380CC4-5D6E-409C-BE32-E72D297353CC}">
              <c16:uniqueId val="{00000001-E3C5-4849-9F7E-C897F91C6BE8}"/>
            </c:ext>
          </c:extLst>
        </c:ser>
        <c:dLbls>
          <c:showLegendKey val="0"/>
          <c:showVal val="0"/>
          <c:showCatName val="0"/>
          <c:showSerName val="0"/>
          <c:showPercent val="0"/>
          <c:showBubbleSize val="0"/>
        </c:dLbls>
        <c:gapWidth val="269"/>
        <c:overlap val="-27"/>
        <c:axId val="1351251904"/>
        <c:axId val="1351247328"/>
      </c:barChart>
      <c:lineChart>
        <c:grouping val="standard"/>
        <c:varyColors val="0"/>
        <c:ser>
          <c:idx val="2"/>
          <c:order val="2"/>
          <c:tx>
            <c:strRef>
              <c:f>'Portfolio-PIVOT+Chart'!$T$5</c:f>
              <c:strCache>
                <c:ptCount val="1"/>
                <c:pt idx="0">
                  <c:v>Sum of Total_Sales</c:v>
                </c:pt>
              </c:strCache>
            </c:strRef>
          </c:tx>
          <c:spPr>
            <a:ln w="28575" cap="rnd">
              <a:solidFill>
                <a:schemeClr val="accent5">
                  <a:lumMod val="75000"/>
                </a:schemeClr>
              </a:solidFill>
              <a:round/>
            </a:ln>
            <a:effectLst/>
          </c:spPr>
          <c:marker>
            <c:symbol val="circle"/>
            <c:size val="6"/>
            <c:spPr>
              <a:solidFill>
                <a:schemeClr val="accent5">
                  <a:lumMod val="75000"/>
                </a:schemeClr>
              </a:solidFill>
              <a:ln>
                <a:solidFill>
                  <a:schemeClr val="accent5">
                    <a:lumMod val="75000"/>
                  </a:schemeClr>
                </a:solidFill>
              </a:ln>
              <a:effectLst/>
            </c:spPr>
          </c:marker>
          <c:cat>
            <c:multiLvlStrRef>
              <c:f>'Portfolio-PIVOT+Chart'!$P$6:$Q$12</c:f>
              <c:multiLvlStrCache>
                <c:ptCount val="5"/>
                <c:lvl>
                  <c:pt idx="0">
                    <c:v>Jan</c:v>
                  </c:pt>
                  <c:pt idx="1">
                    <c:v>Feb</c:v>
                  </c:pt>
                  <c:pt idx="2">
                    <c:v>Mar</c:v>
                  </c:pt>
                  <c:pt idx="3">
                    <c:v>Apr</c:v>
                  </c:pt>
                  <c:pt idx="4">
                    <c:v>May</c:v>
                  </c:pt>
                </c:lvl>
                <c:lvl>
                  <c:pt idx="0">
                    <c:v>2024</c:v>
                  </c:pt>
                </c:lvl>
              </c:multiLvlStrCache>
            </c:multiLvlStrRef>
          </c:cat>
          <c:val>
            <c:numRef>
              <c:f>'Portfolio-PIVOT+Chart'!$T$6:$T$12</c:f>
              <c:numCache>
                <c:formatCode>General</c:formatCode>
                <c:ptCount val="5"/>
                <c:pt idx="0">
                  <c:v>9035000</c:v>
                </c:pt>
                <c:pt idx="1">
                  <c:v>10050000</c:v>
                </c:pt>
                <c:pt idx="2">
                  <c:v>9455000</c:v>
                </c:pt>
                <c:pt idx="3">
                  <c:v>9460000</c:v>
                </c:pt>
                <c:pt idx="4">
                  <c:v>3190000</c:v>
                </c:pt>
              </c:numCache>
            </c:numRef>
          </c:val>
          <c:smooth val="0"/>
          <c:extLst>
            <c:ext xmlns:c16="http://schemas.microsoft.com/office/drawing/2014/chart" uri="{C3380CC4-5D6E-409C-BE32-E72D297353CC}">
              <c16:uniqueId val="{00000002-E3C5-4849-9F7E-C897F91C6BE8}"/>
            </c:ext>
          </c:extLst>
        </c:ser>
        <c:dLbls>
          <c:showLegendKey val="0"/>
          <c:showVal val="0"/>
          <c:showCatName val="0"/>
          <c:showSerName val="0"/>
          <c:showPercent val="0"/>
          <c:showBubbleSize val="0"/>
        </c:dLbls>
        <c:marker val="1"/>
        <c:smooth val="0"/>
        <c:axId val="1351249824"/>
        <c:axId val="1351248576"/>
      </c:lineChart>
      <c:catAx>
        <c:axId val="1351251904"/>
        <c:scaling>
          <c:orientation val="minMax"/>
        </c:scaling>
        <c:delete val="0"/>
        <c:axPos val="b"/>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51247328"/>
        <c:crosses val="autoZero"/>
        <c:auto val="1"/>
        <c:lblAlgn val="ctr"/>
        <c:lblOffset val="100"/>
        <c:noMultiLvlLbl val="0"/>
      </c:catAx>
      <c:valAx>
        <c:axId val="1351247328"/>
        <c:scaling>
          <c:orientation val="minMax"/>
        </c:scaling>
        <c:delete val="0"/>
        <c:axPos val="l"/>
        <c:majorGridlines>
          <c:spPr>
            <a:ln>
              <a:solidFill>
                <a:schemeClr val="tx1">
                  <a:lumMod val="15000"/>
                  <a:lumOff val="85000"/>
                </a:schemeClr>
              </a:solidFill>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51251904"/>
        <c:crosses val="autoZero"/>
        <c:crossBetween val="between"/>
      </c:valAx>
      <c:valAx>
        <c:axId val="1351248576"/>
        <c:scaling>
          <c:orientation val="minMax"/>
        </c:scaling>
        <c:delete val="0"/>
        <c:axPos val="r"/>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51249824"/>
        <c:crosses val="max"/>
        <c:crossBetween val="between"/>
      </c:valAx>
      <c:catAx>
        <c:axId val="1351249824"/>
        <c:scaling>
          <c:orientation val="minMax"/>
        </c:scaling>
        <c:delete val="1"/>
        <c:axPos val="b"/>
        <c:numFmt formatCode="General" sourceLinked="1"/>
        <c:majorTickMark val="none"/>
        <c:minorTickMark val="none"/>
        <c:tickLblPos val="nextTo"/>
        <c:crossAx val="1351248576"/>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[Portofolio_Intermediate-Excel.xlsm]Portfolio-PIVOT+Chart!PivotTable1</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D" baseline="0"/>
              <a:t>Total Sales of Each Category per Region</a:t>
            </a:r>
            <a:endParaRPr lang="en-ID"/>
          </a:p>
        </c:rich>
      </c:tx>
      <c:layout>
        <c:manualLayout>
          <c:xMode val="edge"/>
          <c:yMode val="edge"/>
          <c:x val="0.34722844923386953"/>
          <c:y val="7.7434143727136653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'Portfolio-PIVOT+Chart'!$AE$5:$AE$6</c:f>
              <c:strCache>
                <c:ptCount val="1"/>
                <c:pt idx="0">
                  <c:v>East</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'Portfolio-PIVOT+Chart'!$AD$7:$AD$11</c:f>
              <c:strCache>
                <c:ptCount val="4"/>
                <c:pt idx="0">
                  <c:v>Accessories</c:v>
                </c:pt>
                <c:pt idx="1">
                  <c:v>Apparel</c:v>
                </c:pt>
                <c:pt idx="2">
                  <c:v>Electronics</c:v>
                </c:pt>
                <c:pt idx="3">
                  <c:v>Footwear</c:v>
                </c:pt>
              </c:strCache>
            </c:strRef>
          </c:cat>
          <c:val>
            <c:numRef>
              <c:f>'Portfolio-PIVOT+Chart'!$AE$7:$AE$11</c:f>
              <c:numCache>
                <c:formatCode>_(* #,##0_);_(* \(#,##0\);_(* "-"_);_(@_)</c:formatCode>
                <c:ptCount val="4"/>
                <c:pt idx="0">
                  <c:v>950000</c:v>
                </c:pt>
                <c:pt idx="1">
                  <c:v>4980000</c:v>
                </c:pt>
                <c:pt idx="2">
                  <c:v>2725000</c:v>
                </c:pt>
                <c:pt idx="3">
                  <c:v>2610000</c:v>
                </c:pt>
              </c:numCache>
            </c:numRef>
          </c:val>
          <c:extLst>
            <c:ext xmlns:c16="http://schemas.microsoft.com/office/drawing/2014/chart" uri="{C3380CC4-5D6E-409C-BE32-E72D297353CC}">
              <c16:uniqueId val="{00000000-81F4-41A0-88A2-751F620ADC6F}"/>
            </c:ext>
          </c:extLst>
        </c:ser>
        <c:ser>
          <c:idx val="1"/>
          <c:order val="1"/>
          <c:tx>
            <c:strRef>
              <c:f>'Portfolio-PIVOT+Chart'!$AF$5:$AF$6</c:f>
              <c:strCache>
                <c:ptCount val="1"/>
                <c:pt idx="0">
                  <c:v>North</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'Portfolio-PIVOT+Chart'!$AD$7:$AD$11</c:f>
              <c:strCache>
                <c:ptCount val="4"/>
                <c:pt idx="0">
                  <c:v>Accessories</c:v>
                </c:pt>
                <c:pt idx="1">
                  <c:v>Apparel</c:v>
                </c:pt>
                <c:pt idx="2">
                  <c:v>Electronics</c:v>
                </c:pt>
                <c:pt idx="3">
                  <c:v>Footwear</c:v>
                </c:pt>
              </c:strCache>
            </c:strRef>
          </c:cat>
          <c:val>
            <c:numRef>
              <c:f>'Portfolio-PIVOT+Chart'!$AF$7:$AF$11</c:f>
              <c:numCache>
                <c:formatCode>_(* #,##0_);_(* \(#,##0\);_(* "-"_);_(@_)</c:formatCode>
                <c:ptCount val="4"/>
                <c:pt idx="0">
                  <c:v>700000</c:v>
                </c:pt>
                <c:pt idx="1">
                  <c:v>2625000</c:v>
                </c:pt>
                <c:pt idx="2">
                  <c:v>3975000</c:v>
                </c:pt>
                <c:pt idx="3">
                  <c:v>2360000</c:v>
                </c:pt>
              </c:numCache>
            </c:numRef>
          </c:val>
          <c:extLst>
            <c:ext xmlns:c16="http://schemas.microsoft.com/office/drawing/2014/chart" uri="{C3380CC4-5D6E-409C-BE32-E72D297353CC}">
              <c16:uniqueId val="{00000001-81F4-41A0-88A2-751F620ADC6F}"/>
            </c:ext>
          </c:extLst>
        </c:ser>
        <c:ser>
          <c:idx val="2"/>
          <c:order val="2"/>
          <c:tx>
            <c:strRef>
              <c:f>'Portfolio-PIVOT+Chart'!$AG$5:$AG$6</c:f>
              <c:strCache>
                <c:ptCount val="1"/>
                <c:pt idx="0">
                  <c:v>South</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'Portfolio-PIVOT+Chart'!$AD$7:$AD$11</c:f>
              <c:strCache>
                <c:ptCount val="4"/>
                <c:pt idx="0">
                  <c:v>Accessories</c:v>
                </c:pt>
                <c:pt idx="1">
                  <c:v>Apparel</c:v>
                </c:pt>
                <c:pt idx="2">
                  <c:v>Electronics</c:v>
                </c:pt>
                <c:pt idx="3">
                  <c:v>Footwear</c:v>
                </c:pt>
              </c:strCache>
            </c:strRef>
          </c:cat>
          <c:val>
            <c:numRef>
              <c:f>'Portfolio-PIVOT+Chart'!$AG$7:$AG$11</c:f>
              <c:numCache>
                <c:formatCode>_(* #,##0_);_(* \(#,##0\);_(* "-"_);_(@_)</c:formatCode>
                <c:ptCount val="4"/>
                <c:pt idx="0">
                  <c:v>1875000</c:v>
                </c:pt>
                <c:pt idx="1">
                  <c:v>2415000</c:v>
                </c:pt>
                <c:pt idx="2">
                  <c:v>2970000</c:v>
                </c:pt>
                <c:pt idx="3">
                  <c:v>1470000</c:v>
                </c:pt>
              </c:numCache>
            </c:numRef>
          </c:val>
          <c:extLst>
            <c:ext xmlns:c16="http://schemas.microsoft.com/office/drawing/2014/chart" uri="{C3380CC4-5D6E-409C-BE32-E72D297353CC}">
              <c16:uniqueId val="{00000002-81F4-41A0-88A2-751F620ADC6F}"/>
            </c:ext>
          </c:extLst>
        </c:ser>
        <c:ser>
          <c:idx val="3"/>
          <c:order val="3"/>
          <c:tx>
            <c:strRef>
              <c:f>'Portfolio-PIVOT+Chart'!$AH$5:$AH$6</c:f>
              <c:strCache>
                <c:ptCount val="1"/>
                <c:pt idx="0">
                  <c:v>West</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'Portfolio-PIVOT+Chart'!$AD$7:$AD$11</c:f>
              <c:strCache>
                <c:ptCount val="4"/>
                <c:pt idx="0">
                  <c:v>Accessories</c:v>
                </c:pt>
                <c:pt idx="1">
                  <c:v>Apparel</c:v>
                </c:pt>
                <c:pt idx="2">
                  <c:v>Electronics</c:v>
                </c:pt>
                <c:pt idx="3">
                  <c:v>Footwear</c:v>
                </c:pt>
              </c:strCache>
            </c:strRef>
          </c:cat>
          <c:val>
            <c:numRef>
              <c:f>'Portfolio-PIVOT+Chart'!$AH$7:$AH$11</c:f>
              <c:numCache>
                <c:formatCode>_(* #,##0_);_(* \(#,##0\);_(* "-"_);_(@_)</c:formatCode>
                <c:ptCount val="4"/>
                <c:pt idx="0">
                  <c:v>730000</c:v>
                </c:pt>
                <c:pt idx="1">
                  <c:v>2550000</c:v>
                </c:pt>
                <c:pt idx="2">
                  <c:v>3265000</c:v>
                </c:pt>
                <c:pt idx="3">
                  <c:v>4990000</c:v>
                </c:pt>
              </c:numCache>
            </c:numRef>
          </c:val>
          <c:extLst>
            <c:ext xmlns:c16="http://schemas.microsoft.com/office/drawing/2014/chart" uri="{C3380CC4-5D6E-409C-BE32-E72D297353CC}">
              <c16:uniqueId val="{00000003-81F4-41A0-88A2-751F620ADC6F}"/>
            </c:ext>
          </c:extLst>
        </c:ser>
        <c:dLbls>
          <c:dLblPos val="ctr"/>
          <c:showLegendKey val="0"/>
          <c:showVal val="1"/>
          <c:showCatName val="0"/>
          <c:showSerName val="0"/>
          <c:showPercent val="0"/>
          <c:showBubbleSize val="0"/>
        </c:dLbls>
        <c:gapWidth val="150"/>
        <c:overlap val="100"/>
        <c:axId val="155185823"/>
        <c:axId val="155191647"/>
      </c:barChart>
      <c:catAx>
        <c:axId val="15518582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191647"/>
        <c:crosses val="autoZero"/>
        <c:auto val="1"/>
        <c:lblAlgn val="ctr"/>
        <c:lblOffset val="100"/>
        <c:noMultiLvlLbl val="0"/>
      </c:catAx>
      <c:valAx>
        <c:axId val="155191647"/>
        <c:scaling>
          <c:orientation val="minMax"/>
        </c:scaling>
        <c:delete val="0"/>
        <c:axPos val="l"/>
        <c:majorGridlines>
          <c:spPr>
            <a:ln w="9525" cap="flat" cmpd="sng" algn="ctr">
              <a:solidFill>
                <a:schemeClr val="tx1">
                  <a:lumMod val="15000"/>
                  <a:lumOff val="85000"/>
                </a:schemeClr>
              </a:solidFill>
              <a:round/>
            </a:ln>
            <a:effectLst/>
          </c:spPr>
        </c:majorGridlines>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185823"/>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withinLinear" id="17">
  <a:schemeClr val="accent4"/>
</cs:colorStyle>
</file>

<file path=xl/charts/colors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withinLinear" id="15">
  <a:schemeClr val="accent2"/>
</cs:colorStyle>
</file>

<file path=xl/charts/colors4.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23">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cap="flat" cmpd="sng" algn="ctr">
        <a:solidFill>
          <a:schemeClr val="tx1">
            <a:lumMod val="65000"/>
            <a:lumOff val="35000"/>
          </a:schemeClr>
        </a:solidFill>
        <a:round/>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15875" cap="flat" cmpd="sng" algn="ctr">
        <a:solidFill>
          <a:schemeClr val="tx1">
            <a:lumMod val="65000"/>
            <a:lumOff val="3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6.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5.xml"/><Relationship Id="rId5" Type="http://schemas.openxmlformats.org/officeDocument/2006/relationships/image" Target="../media/image1.emf"/><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4</xdr:col>
      <xdr:colOff>123825</xdr:colOff>
      <xdr:row>3</xdr:row>
      <xdr:rowOff>0</xdr:rowOff>
    </xdr:from>
    <xdr:to>
      <xdr:col>11</xdr:col>
      <xdr:colOff>41413</xdr:colOff>
      <xdr:row>17</xdr:row>
      <xdr:rowOff>165652</xdr:rowOff>
    </xdr:to>
    <xdr:graphicFrame macro="">
      <xdr:nvGraphicFramePr>
        <xdr:cNvPr id="2" name="Chart 1">
          <a:extLst>
            <a:ext uri="{FF2B5EF4-FFF2-40B4-BE49-F238E27FC236}">
              <a16:creationId xmlns:a16="http://schemas.microsoft.com/office/drawing/2014/main" id="{EA6F89B7-3203-4953-945E-5B03B55ACA4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399933</xdr:colOff>
      <xdr:row>23</xdr:row>
      <xdr:rowOff>12765</xdr:rowOff>
    </xdr:from>
    <xdr:to>
      <xdr:col>11</xdr:col>
      <xdr:colOff>247778</xdr:colOff>
      <xdr:row>36</xdr:row>
      <xdr:rowOff>180287</xdr:rowOff>
    </xdr:to>
    <xdr:graphicFrame macro="">
      <xdr:nvGraphicFramePr>
        <xdr:cNvPr id="3" name="Chart 2">
          <a:extLst>
            <a:ext uri="{FF2B5EF4-FFF2-40B4-BE49-F238E27FC236}">
              <a16:creationId xmlns:a16="http://schemas.microsoft.com/office/drawing/2014/main" id="{5A21E5B5-18CC-4D92-BFED-F64CAD983D3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116266</xdr:colOff>
      <xdr:row>78</xdr:row>
      <xdr:rowOff>49703</xdr:rowOff>
    </xdr:from>
    <xdr:to>
      <xdr:col>9</xdr:col>
      <xdr:colOff>590516</xdr:colOff>
      <xdr:row>96</xdr:row>
      <xdr:rowOff>156497</xdr:rowOff>
    </xdr:to>
    <xdr:graphicFrame macro="">
      <xdr:nvGraphicFramePr>
        <xdr:cNvPr id="4" name="Chart 3">
          <a:extLst>
            <a:ext uri="{FF2B5EF4-FFF2-40B4-BE49-F238E27FC236}">
              <a16:creationId xmlns:a16="http://schemas.microsoft.com/office/drawing/2014/main" id="{D8B73D6B-B60E-4E43-9649-51F266148AC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652966</xdr:colOff>
      <xdr:row>35</xdr:row>
      <xdr:rowOff>170075</xdr:rowOff>
    </xdr:from>
    <xdr:to>
      <xdr:col>23</xdr:col>
      <xdr:colOff>246411</xdr:colOff>
      <xdr:row>54</xdr:row>
      <xdr:rowOff>86146</xdr:rowOff>
    </xdr:to>
    <xdr:graphicFrame macro="">
      <xdr:nvGraphicFramePr>
        <xdr:cNvPr id="6" name="Chart 5">
          <a:extLst>
            <a:ext uri="{FF2B5EF4-FFF2-40B4-BE49-F238E27FC236}">
              <a16:creationId xmlns:a16="http://schemas.microsoft.com/office/drawing/2014/main" id="{8F876CA8-0974-4B68-8432-721CD86CEF4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258917</xdr:colOff>
      <xdr:row>9</xdr:row>
      <xdr:rowOff>175106</xdr:rowOff>
    </xdr:from>
    <xdr:to>
      <xdr:col>3</xdr:col>
      <xdr:colOff>1535332</xdr:colOff>
      <xdr:row>19</xdr:row>
      <xdr:rowOff>86592</xdr:rowOff>
    </xdr:to>
    <xdr:sp macro="" textlink="">
      <xdr:nvSpPr>
        <xdr:cNvPr id="9" name="TextBox 8">
          <a:extLst>
            <a:ext uri="{FF2B5EF4-FFF2-40B4-BE49-F238E27FC236}">
              <a16:creationId xmlns:a16="http://schemas.microsoft.com/office/drawing/2014/main" id="{C30EA683-4352-4999-A82F-D3D9674F613A}"/>
            </a:ext>
          </a:extLst>
        </xdr:cNvPr>
        <xdr:cNvSpPr txBox="1"/>
      </xdr:nvSpPr>
      <xdr:spPr>
        <a:xfrm>
          <a:off x="1471190" y="1699106"/>
          <a:ext cx="2557960" cy="181648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D" sz="1300" b="1" i="1" u="sng" baseline="0"/>
            <a:t>Total Sales per Category</a:t>
          </a:r>
        </a:p>
        <a:p>
          <a:pPr algn="l"/>
          <a:endParaRPr lang="en-ID" sz="1100" baseline="0"/>
        </a:p>
        <a:p>
          <a:pPr algn="ctr"/>
          <a:r>
            <a:rPr lang="en-ID" sz="1100" baseline="0"/>
            <a:t>Diketahui bahwa kategori Elektronik menyumbang pendapatan paling tinggi di total sales sebesar Rp 12,935,000. Diikuti urutan ke-2 dengan Apparel sebesar Rp 12,570,000. Dan terendah di kategori Accessories, sebesar Rp 4,255,000. </a:t>
          </a:r>
        </a:p>
      </xdr:txBody>
    </xdr:sp>
    <xdr:clientData/>
  </xdr:twoCellAnchor>
  <xdr:twoCellAnchor>
    <xdr:from>
      <xdr:col>1</xdr:col>
      <xdr:colOff>233521</xdr:colOff>
      <xdr:row>32</xdr:row>
      <xdr:rowOff>86202</xdr:rowOff>
    </xdr:from>
    <xdr:to>
      <xdr:col>4</xdr:col>
      <xdr:colOff>292008</xdr:colOff>
      <xdr:row>62</xdr:row>
      <xdr:rowOff>116132</xdr:rowOff>
    </xdr:to>
    <xdr:sp macro="" textlink="">
      <xdr:nvSpPr>
        <xdr:cNvPr id="10" name="TextBox 9">
          <a:extLst>
            <a:ext uri="{FF2B5EF4-FFF2-40B4-BE49-F238E27FC236}">
              <a16:creationId xmlns:a16="http://schemas.microsoft.com/office/drawing/2014/main" id="{BEE9E22D-3419-4644-926A-DF355059B3BF}"/>
            </a:ext>
          </a:extLst>
        </xdr:cNvPr>
        <xdr:cNvSpPr txBox="1"/>
      </xdr:nvSpPr>
      <xdr:spPr>
        <a:xfrm>
          <a:off x="839657" y="5991702"/>
          <a:ext cx="3695306" cy="574493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D" sz="1300" b="1" i="1" u="sng" baseline="0"/>
            <a:t>Total Sales per Date</a:t>
          </a:r>
        </a:p>
        <a:p>
          <a:pPr algn="ctr"/>
          <a:endParaRPr lang="en-ID" sz="1100" baseline="0"/>
        </a:p>
        <a:p>
          <a:pPr algn="ctr"/>
          <a:r>
            <a:rPr lang="en-ID" sz="1100" baseline="0"/>
            <a:t>Dari grafik puncak tertinggi tren penjualan berada di bulan Februari 2024 sebesar Rp 10,050,000. Lalu pada bulan May 2024 penjualan menurun drastis dilihat dari bulan April yang mendapat total 9,460,000 ke 3,190,000. Penurunan yang terjadi sebanyak 66% dari bulan sebelumnya. </a:t>
          </a:r>
        </a:p>
        <a:p>
          <a:pPr algn="ctr"/>
          <a:endParaRPr lang="en-ID" sz="1100" baseline="0"/>
        </a:p>
        <a:p>
          <a:pPr algn="ctr"/>
          <a:r>
            <a:rPr lang="en-ID" sz="1100" baseline="0"/>
            <a:t>Setelah di analisis kembali, ternyata penurunan (</a:t>
          </a:r>
          <a:r>
            <a:rPr lang="en-ID" sz="1100" i="1" baseline="0"/>
            <a:t>grafik orange - garis putus</a:t>
          </a:r>
          <a:r>
            <a:rPr lang="en-ID" sz="1100" baseline="0"/>
            <a:t>) terjadi dikarenakan ketidakaturan durasi data. Data bulai Mei 2024 hanya sampai pada tanggal 10 Mei 2024. Dapat dikatakan bahwa data tersebut masih ongoing/ disebut forecast. Data pada bulan Mei masih merupakan data hari ke 10 atau MTD (Month-to-Date) yg mengartikan bahwa data masih bisa berubah. </a:t>
          </a:r>
        </a:p>
        <a:p>
          <a:pPr algn="ctr"/>
          <a:endParaRPr lang="en-ID" sz="1100" baseline="0"/>
        </a:p>
        <a:p>
          <a:pPr algn="ctr"/>
          <a:r>
            <a:rPr lang="en-ID" sz="1100" baseline="0"/>
            <a:t>Dari keterangan tersebut, dapat dilakukan analisis data dengan forecasting, atau estimasi kasar performa pada bulan itu. Didapatkan hasil sebesar Rp 9,889,000 atau 23.99%, dari performa dapat dilihat bahwa bulan Mei penjulaan sebenarnya stabil dan bahkan berpotensi menyamai rekor penjulan bulan Februari. </a:t>
          </a:r>
        </a:p>
        <a:p>
          <a:pPr algn="ctr"/>
          <a:endParaRPr lang="en-ID" sz="1100" baseline="0"/>
        </a:p>
        <a:p>
          <a:pPr algn="ctr"/>
          <a:r>
            <a:rPr lang="en-ID" sz="1100" baseline="0"/>
            <a:t>Dilakukan analisa Forecasting bisa menjadi tanda awal analisa dikemudian hari, karena, apabila dikemudian hari (</a:t>
          </a:r>
          <a:r>
            <a:rPr lang="en-ID" sz="1100" i="1" baseline="0"/>
            <a:t>misal sampai tgl 20 Mei</a:t>
          </a:r>
          <a:r>
            <a:rPr lang="en-ID" sz="1100" baseline="0"/>
            <a:t>) penjualan masih belum naik, otomatis tidak memenuhi ekspetasi target sementara (</a:t>
          </a:r>
          <a:r>
            <a:rPr lang="en-ID" sz="1100" i="1" baseline="0"/>
            <a:t>hasil forcasting Mei</a:t>
          </a:r>
          <a:r>
            <a:rPr lang="en-ID" sz="1100" baseline="0"/>
            <a:t>), sehingga pihak marketing dan sales harus melakukan tindakan untuk menangani case tersebut. </a:t>
          </a:r>
        </a:p>
      </xdr:txBody>
    </xdr:sp>
    <xdr:clientData/>
  </xdr:twoCellAnchor>
  <xdr:twoCellAnchor>
    <xdr:from>
      <xdr:col>1</xdr:col>
      <xdr:colOff>598475</xdr:colOff>
      <xdr:row>78</xdr:row>
      <xdr:rowOff>23921</xdr:rowOff>
    </xdr:from>
    <xdr:to>
      <xdr:col>4</xdr:col>
      <xdr:colOff>5084</xdr:colOff>
      <xdr:row>89</xdr:row>
      <xdr:rowOff>23812</xdr:rowOff>
    </xdr:to>
    <xdr:sp macro="" textlink="">
      <xdr:nvSpPr>
        <xdr:cNvPr id="12" name="TextBox 11">
          <a:extLst>
            <a:ext uri="{FF2B5EF4-FFF2-40B4-BE49-F238E27FC236}">
              <a16:creationId xmlns:a16="http://schemas.microsoft.com/office/drawing/2014/main" id="{191F6EEB-7F05-4EF3-9310-490B6DC50377}"/>
            </a:ext>
          </a:extLst>
        </xdr:cNvPr>
        <xdr:cNvSpPr txBox="1"/>
      </xdr:nvSpPr>
      <xdr:spPr>
        <a:xfrm>
          <a:off x="1205694" y="14692421"/>
          <a:ext cx="2323640" cy="209539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D" sz="1300" b="1" i="1" u="sng" baseline="0"/>
            <a:t>Sales Target (High vs Low)</a:t>
          </a:r>
        </a:p>
        <a:p>
          <a:pPr algn="ctr"/>
          <a:endParaRPr lang="en-ID" sz="1100" baseline="0"/>
        </a:p>
        <a:p>
          <a:pPr algn="ctr"/>
          <a:r>
            <a:rPr lang="en-ID" sz="1100" baseline="0"/>
            <a:t> Dari grafik bulan Jan - Mei 2024 sekitar 85% produk yang diminati orang berasal dari produk dengan harga mahal. Dan di setiap bulan, minat konsumen tidak berubah, yang otomatis dapat di simpulkan bahwa produk dengan harga tinggi lebih mendominasi disetiap bulannya. </a:t>
          </a:r>
        </a:p>
      </xdr:txBody>
    </xdr:sp>
    <xdr:clientData/>
  </xdr:twoCellAnchor>
  <xdr:twoCellAnchor>
    <xdr:from>
      <xdr:col>14</xdr:col>
      <xdr:colOff>596490</xdr:colOff>
      <xdr:row>13</xdr:row>
      <xdr:rowOff>2511</xdr:rowOff>
    </xdr:from>
    <xdr:to>
      <xdr:col>20</xdr:col>
      <xdr:colOff>12533</xdr:colOff>
      <xdr:row>28</xdr:row>
      <xdr:rowOff>149186</xdr:rowOff>
    </xdr:to>
    <xdr:sp macro="" textlink="">
      <xdr:nvSpPr>
        <xdr:cNvPr id="13" name="TextBox 12">
          <a:extLst>
            <a:ext uri="{FF2B5EF4-FFF2-40B4-BE49-F238E27FC236}">
              <a16:creationId xmlns:a16="http://schemas.microsoft.com/office/drawing/2014/main" id="{4CAA7E9D-3748-4ADA-9AAD-F700F298BA46}"/>
            </a:ext>
          </a:extLst>
        </xdr:cNvPr>
        <xdr:cNvSpPr txBox="1"/>
      </xdr:nvSpPr>
      <xdr:spPr>
        <a:xfrm>
          <a:off x="11005135" y="2343595"/>
          <a:ext cx="5417940" cy="307303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D" sz="1300" b="1" i="1" u="sng" baseline="0"/>
            <a:t>Tren Harga Jual (Average per Unit)</a:t>
          </a:r>
        </a:p>
        <a:p>
          <a:pPr algn="ctr"/>
          <a:r>
            <a:rPr lang="en-ID" sz="1100" baseline="0"/>
            <a:t>Dilihat dari data bulan Jan - Mei 2024, harga rata - rata setiap bulan terus mengalami kenaikan, dan puncaknya di 145,500 (bulan Mei). Dapat dikatakan bahwa, penjualan produk mengalami kenaikan secara bertahap </a:t>
          </a:r>
          <a:r>
            <a:rPr lang="en-ID" sz="1100" i="1" baseline="0"/>
            <a:t>(grafik batang - orange)</a:t>
          </a:r>
          <a:r>
            <a:rPr lang="en-ID" sz="1100" baseline="0"/>
            <a:t>. </a:t>
          </a:r>
        </a:p>
        <a:p>
          <a:pPr algn="ctr"/>
          <a:endParaRPr lang="en-ID" sz="1100" baseline="0"/>
        </a:p>
        <a:p>
          <a:pPr marL="0" marR="0" lvl="0" indent="0" algn="ctr" defTabSz="914400" eaLnBrk="1" fontAlgn="auto" latinLnBrk="0" hangingPunct="1">
            <a:lnSpc>
              <a:spcPct val="100000"/>
            </a:lnSpc>
            <a:spcBef>
              <a:spcPts val="0"/>
            </a:spcBef>
            <a:spcAft>
              <a:spcPts val="0"/>
            </a:spcAft>
            <a:buClrTx/>
            <a:buSzTx/>
            <a:buFontTx/>
            <a:buNone/>
            <a:tabLst/>
            <a:defRPr/>
          </a:pPr>
          <a:r>
            <a:rPr lang="en-ID" sz="1300" b="1" i="1" u="sng" baseline="0">
              <a:solidFill>
                <a:schemeClr val="dk1"/>
              </a:solidFill>
              <a:effectLst/>
              <a:latin typeface="+mn-lt"/>
              <a:ea typeface="+mn-ea"/>
              <a:cs typeface="+mn-cs"/>
            </a:rPr>
            <a:t>Analisis Volume (Quantity)</a:t>
          </a:r>
        </a:p>
        <a:p>
          <a:pPr marL="0" marR="0" lvl="0" indent="0" algn="ctr" defTabSz="914400" eaLnBrk="1" fontAlgn="auto" latinLnBrk="0" hangingPunct="1">
            <a:lnSpc>
              <a:spcPct val="100000"/>
            </a:lnSpc>
            <a:spcBef>
              <a:spcPts val="0"/>
            </a:spcBef>
            <a:spcAft>
              <a:spcPts val="0"/>
            </a:spcAft>
            <a:buClrTx/>
            <a:buSzTx/>
            <a:buFontTx/>
            <a:buNone/>
            <a:tabLst/>
            <a:defRPr/>
          </a:pPr>
          <a:r>
            <a:rPr lang="en-ID" sz="1100" b="0" i="0" u="none" baseline="0">
              <a:solidFill>
                <a:schemeClr val="dk1"/>
              </a:solidFill>
              <a:effectLst/>
              <a:latin typeface="+mn-lt"/>
              <a:ea typeface="+mn-ea"/>
              <a:cs typeface="+mn-cs"/>
            </a:rPr>
            <a:t>Quantity bulan Jan-Mar stabil di angka 84-85 unit. Kemudian di april, turun ke 77 unit, dan di MTD Mei terjual 25 unit (sampai tgl 10). Jika dilakukan analisis lanjut pada akhir bulan Mei dengan forecasting, di dapatkan hasil penjualan 77 unit ( (25/10)x31) ) sama dengan penjualan bulan April, sehingga dapat dikatakan sama kuat. </a:t>
          </a:r>
        </a:p>
        <a:p>
          <a:pPr marL="0" marR="0" lvl="0" indent="0" algn="ctr" defTabSz="914400" eaLnBrk="1" fontAlgn="auto" latinLnBrk="0" hangingPunct="1">
            <a:lnSpc>
              <a:spcPct val="100000"/>
            </a:lnSpc>
            <a:spcBef>
              <a:spcPts val="0"/>
            </a:spcBef>
            <a:spcAft>
              <a:spcPts val="0"/>
            </a:spcAft>
            <a:buClrTx/>
            <a:buSzTx/>
            <a:buFontTx/>
            <a:buNone/>
            <a:tabLst/>
            <a:defRPr/>
          </a:pPr>
          <a:endParaRPr lang="en-ID" sz="1100" b="0" i="0" u="none" baseline="0">
            <a:solidFill>
              <a:schemeClr val="dk1"/>
            </a:solidFill>
            <a:effectLst/>
            <a:latin typeface="+mn-lt"/>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r>
            <a:rPr lang="en-ID" sz="1300" b="1" i="1" u="sng" baseline="0">
              <a:solidFill>
                <a:schemeClr val="dk1"/>
              </a:solidFill>
              <a:effectLst/>
              <a:latin typeface="+mn-lt"/>
              <a:ea typeface="+mn-ea"/>
              <a:cs typeface="+mn-cs"/>
            </a:rPr>
            <a:t>Kesimpulan</a:t>
          </a:r>
        </a:p>
        <a:p>
          <a:pPr marL="0" marR="0" lvl="0" indent="0" algn="ctr" defTabSz="914400" eaLnBrk="1" fontAlgn="auto" latinLnBrk="0" hangingPunct="1">
            <a:lnSpc>
              <a:spcPct val="100000"/>
            </a:lnSpc>
            <a:spcBef>
              <a:spcPts val="0"/>
            </a:spcBef>
            <a:spcAft>
              <a:spcPts val="0"/>
            </a:spcAft>
            <a:buClrTx/>
            <a:buSzTx/>
            <a:buFontTx/>
            <a:buNone/>
            <a:tabLst/>
            <a:defRPr/>
          </a:pPr>
          <a:r>
            <a:rPr lang="en-ID" sz="1100" b="0" i="0" u="none" baseline="0">
              <a:solidFill>
                <a:schemeClr val="dk1"/>
              </a:solidFill>
              <a:effectLst/>
              <a:latin typeface="+mn-lt"/>
              <a:ea typeface="+mn-ea"/>
              <a:cs typeface="+mn-cs"/>
            </a:rPr>
            <a:t>Meskipun dalam grafik total sales mengalami penurunan yg signifikan, tetapi tren harga (grafik batang - orange) mengalami kenaikan dari bulan sebelumnya. Sehingga tidak perlu dikhawatirkan, menurunnya grafik total sales (grafik garis - biru) terjadi karena kurangnya data atau data yang digunakan pada bulan Mei hanya sampai tanggal 10 Mei 2024. </a:t>
          </a:r>
          <a:endParaRPr lang="en-ID" b="0" i="0" u="none">
            <a:effectLst/>
          </a:endParaRPr>
        </a:p>
        <a:p>
          <a:pPr algn="ctr"/>
          <a:endParaRPr lang="en-ID" sz="1100" baseline="0"/>
        </a:p>
        <a:p>
          <a:pPr algn="ctr"/>
          <a:endParaRPr lang="en-ID" sz="1100" baseline="0"/>
        </a:p>
        <a:p>
          <a:pPr algn="ctr"/>
          <a:endParaRPr lang="en-ID" sz="1100" baseline="0"/>
        </a:p>
      </xdr:txBody>
    </xdr:sp>
    <xdr:clientData/>
  </xdr:twoCellAnchor>
  <xdr:twoCellAnchor>
    <xdr:from>
      <xdr:col>14</xdr:col>
      <xdr:colOff>463549</xdr:colOff>
      <xdr:row>43</xdr:row>
      <xdr:rowOff>135364</xdr:rowOff>
    </xdr:from>
    <xdr:to>
      <xdr:col>17</xdr:col>
      <xdr:colOff>300927</xdr:colOff>
      <xdr:row>52</xdr:row>
      <xdr:rowOff>110970</xdr:rowOff>
    </xdr:to>
    <xdr:sp macro="" textlink="">
      <xdr:nvSpPr>
        <xdr:cNvPr id="14" name="TextBox 13">
          <a:extLst>
            <a:ext uri="{FF2B5EF4-FFF2-40B4-BE49-F238E27FC236}">
              <a16:creationId xmlns:a16="http://schemas.microsoft.com/office/drawing/2014/main" id="{0ED4D595-8BA1-4BBC-989C-1A9E06F3C1EB}"/>
            </a:ext>
          </a:extLst>
        </xdr:cNvPr>
        <xdr:cNvSpPr txBox="1"/>
      </xdr:nvSpPr>
      <xdr:spPr>
        <a:xfrm>
          <a:off x="10885564" y="8291723"/>
          <a:ext cx="2241746" cy="172339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D" sz="1300" b="1" i="1" u="sng" baseline="0"/>
            <a:t> Total Sales per Region </a:t>
          </a:r>
        </a:p>
        <a:p>
          <a:pPr algn="ctr"/>
          <a:r>
            <a:rPr lang="en-ID" sz="1300" b="1" i="1" u="sng" baseline="0"/>
            <a:t>(Percentage)</a:t>
          </a:r>
        </a:p>
        <a:p>
          <a:pPr algn="ctr"/>
          <a:endParaRPr lang="en-ID" sz="1100" baseline="0"/>
        </a:p>
        <a:p>
          <a:pPr algn="ctr"/>
          <a:r>
            <a:rPr lang="en-ID" sz="1100" baseline="0"/>
            <a:t>Persentase penjualan tertinggi berada di daerah "West" yang mencapai angka 28% dari Total Sales, diikuti East, North, dan terakhir South.</a:t>
          </a:r>
        </a:p>
      </xdr:txBody>
    </xdr:sp>
    <xdr:clientData/>
  </xdr:twoCellAnchor>
  <xdr:twoCellAnchor>
    <xdr:from>
      <xdr:col>18</xdr:col>
      <xdr:colOff>264852</xdr:colOff>
      <xdr:row>58</xdr:row>
      <xdr:rowOff>24108</xdr:rowOff>
    </xdr:from>
    <xdr:to>
      <xdr:col>19</xdr:col>
      <xdr:colOff>1024090</xdr:colOff>
      <xdr:row>67</xdr:row>
      <xdr:rowOff>81726</xdr:rowOff>
    </xdr:to>
    <xdr:sp macro="" textlink="">
      <xdr:nvSpPr>
        <xdr:cNvPr id="16" name="TextBox 15">
          <a:extLst>
            <a:ext uri="{FF2B5EF4-FFF2-40B4-BE49-F238E27FC236}">
              <a16:creationId xmlns:a16="http://schemas.microsoft.com/office/drawing/2014/main" id="{6819C133-8C72-4FFF-A7F2-830F6BA269A2}"/>
            </a:ext>
          </a:extLst>
        </xdr:cNvPr>
        <xdr:cNvSpPr txBox="1"/>
      </xdr:nvSpPr>
      <xdr:spPr>
        <a:xfrm>
          <a:off x="14131247" y="10882608"/>
          <a:ext cx="2132843" cy="177211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D" sz="1300" b="1" i="1" u="sng" baseline="0"/>
            <a:t>Product Rank </a:t>
          </a:r>
        </a:p>
        <a:p>
          <a:pPr algn="ctr"/>
          <a:endParaRPr lang="en-ID" sz="1100" baseline="0"/>
        </a:p>
        <a:p>
          <a:pPr algn="ctr"/>
          <a:r>
            <a:rPr lang="en-ID" sz="1100" baseline="0"/>
            <a:t>Berdasarkan total quantity produk, T-Shirt merupakan produk yang paling banyak di repuchase oleh pelanggan dan menempati posisi pertama. Sedangkan Laptop Sleeve berada di urutan terakhir.</a:t>
          </a:r>
        </a:p>
        <a:p>
          <a:pPr algn="ctr"/>
          <a:endParaRPr lang="en-ID" sz="1100" baseline="0"/>
        </a:p>
        <a:p>
          <a:pPr algn="ctr"/>
          <a:endParaRPr lang="en-ID" sz="1100" baseline="0"/>
        </a:p>
      </xdr:txBody>
    </xdr:sp>
    <xdr:clientData/>
  </xdr:twoCellAnchor>
  <xdr:twoCellAnchor>
    <xdr:from>
      <xdr:col>28</xdr:col>
      <xdr:colOff>1791278</xdr:colOff>
      <xdr:row>20</xdr:row>
      <xdr:rowOff>43545</xdr:rowOff>
    </xdr:from>
    <xdr:to>
      <xdr:col>33</xdr:col>
      <xdr:colOff>105118</xdr:colOff>
      <xdr:row>37</xdr:row>
      <xdr:rowOff>21146</xdr:rowOff>
    </xdr:to>
    <xdr:sp macro="" textlink="">
      <xdr:nvSpPr>
        <xdr:cNvPr id="17" name="TextBox 16">
          <a:extLst>
            <a:ext uri="{FF2B5EF4-FFF2-40B4-BE49-F238E27FC236}">
              <a16:creationId xmlns:a16="http://schemas.microsoft.com/office/drawing/2014/main" id="{97044E47-3268-4E59-8E4E-709A9170FD34}"/>
            </a:ext>
          </a:extLst>
        </xdr:cNvPr>
        <xdr:cNvSpPr txBox="1"/>
      </xdr:nvSpPr>
      <xdr:spPr>
        <a:xfrm>
          <a:off x="25668136" y="3711957"/>
          <a:ext cx="5045698" cy="325986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D" sz="1300" b="1" i="1" u="sng" baseline="0"/>
            <a:t>Total Sales of Each Category per Region</a:t>
          </a:r>
        </a:p>
        <a:p>
          <a:pPr algn="ctr"/>
          <a:endParaRPr lang="en-ID" sz="1100" baseline="0"/>
        </a:p>
        <a:p>
          <a:pPr algn="ctr"/>
          <a:r>
            <a:rPr lang="en-ID" sz="1100" baseline="0"/>
            <a:t>Setiap daerah/region memiliki penjulan produk paling banyak, dan setiap daerah menyukai produk dengan kategori tertentu. Dari hasil grafik, kategori apparel banyak menduduki daerah East, kemudian di daerah West kategori Footwear paling banyak disukai. Daerah South dan North lebih menyukai kategori Electronics, sedangkan kategori Accessories di semua wilayah memiliki minat paling sedikit. </a:t>
          </a:r>
        </a:p>
        <a:p>
          <a:pPr algn="ctr"/>
          <a:endParaRPr lang="en-ID" sz="1100" baseline="0"/>
        </a:p>
        <a:p>
          <a:pPr algn="ctr"/>
          <a:r>
            <a:rPr lang="en-ID" sz="1100" baseline="0"/>
            <a:t>Jika dilihat dari tabel Sum of Quantity, kategori Accessories memiliki banyak pembeli dibandingkan kategori Footwear, tetapi total sales yang dihasilkan adalah yang paling kecil. Hal ini terjadi karena harga unit price dari kategori Accessories memang lebih rendah dibanding kategori lainnya, oleh karena itu grafik yang dihasilkan menunjukkan Accessories berada di tingkat terendah penjualan. Sehingga, tidak bisa dikatakan bahwa minat pembeli untuk kategori Accessories disetiap wilayah itu rendah. Tetapi, kategori tersebut tetap bisa diberikan solusi untuk meningkatkan penjualan seperti dilakukan promosi melalui media sosial, atau launching produk baru untuk menarik minat pelanggan. </a:t>
          </a:r>
        </a:p>
      </xdr:txBody>
    </xdr:sp>
    <xdr:clientData/>
  </xdr:twoCellAnchor>
  <xdr:twoCellAnchor editAs="oneCell">
    <xdr:from>
      <xdr:col>4</xdr:col>
      <xdr:colOff>671267</xdr:colOff>
      <xdr:row>37</xdr:row>
      <xdr:rowOff>94417</xdr:rowOff>
    </xdr:from>
    <xdr:to>
      <xdr:col>10</xdr:col>
      <xdr:colOff>414559</xdr:colOff>
      <xdr:row>44</xdr:row>
      <xdr:rowOff>166932</xdr:rowOff>
    </xdr:to>
    <mc:AlternateContent xmlns:mc="http://schemas.openxmlformats.org/markup-compatibility/2006" xmlns:tsle="http://schemas.microsoft.com/office/drawing/2012/timeslicer">
      <mc:Choice Requires="tsle">
        <xdr:graphicFrame macro="">
          <xdr:nvGraphicFramePr>
            <xdr:cNvPr id="18" name="Order_Date">
              <a:extLst>
                <a:ext uri="{FF2B5EF4-FFF2-40B4-BE49-F238E27FC236}">
                  <a16:creationId xmlns:a16="http://schemas.microsoft.com/office/drawing/2014/main" id="{E842E170-95C2-4F9A-B103-24CCFDF2C46F}"/>
                </a:ext>
              </a:extLst>
            </xdr:cNvPr>
            <xdr:cNvGraphicFramePr/>
          </xdr:nvGraphicFramePr>
          <xdr:xfrm>
            <a:off x="0" y="0"/>
            <a:ext cx="0" cy="0"/>
          </xdr:xfrm>
          <a:graphic>
            <a:graphicData uri="http://schemas.microsoft.com/office/drawing/2012/timeslicer">
              <tsle:timeslicer name="Order_Date"/>
            </a:graphicData>
          </a:graphic>
        </xdr:graphicFrame>
      </mc:Choice>
      <mc:Fallback xmlns="">
        <xdr:sp macro="" textlink="">
          <xdr:nvSpPr>
            <xdr:cNvPr id="0" name=""/>
            <xdr:cNvSpPr>
              <a:spLocks noTextEdit="1"/>
            </xdr:cNvSpPr>
          </xdr:nvSpPr>
          <xdr:spPr>
            <a:xfrm>
              <a:off x="4205180" y="7051808"/>
              <a:ext cx="4284922" cy="1425341"/>
            </a:xfrm>
            <a:prstGeom prst="rect">
              <a:avLst/>
            </a:prstGeom>
            <a:solidFill>
              <a:prstClr val="white"/>
            </a:solidFill>
            <a:ln w="1">
              <a:solidFill>
                <a:prstClr val="green"/>
              </a:solidFill>
            </a:ln>
          </xdr:spPr>
          <xdr:txBody>
            <a:bodyPr vertOverflow="clip" horzOverflow="clip"/>
            <a:lstStyle/>
            <a:p>
              <a:r>
                <a:rPr lang="en-ID" sz="1100"/>
                <a:t>Timeline: Works in Excel 2013 or higher. Do not move or resize.</a:t>
              </a:r>
            </a:p>
          </xdr:txBody>
        </xdr:sp>
      </mc:Fallback>
    </mc:AlternateContent>
    <xdr:clientData/>
  </xdr:twoCellAnchor>
  <xdr:twoCellAnchor>
    <xdr:from>
      <xdr:col>4</xdr:col>
      <xdr:colOff>439426</xdr:colOff>
      <xdr:row>45</xdr:row>
      <xdr:rowOff>116364</xdr:rowOff>
    </xdr:from>
    <xdr:to>
      <xdr:col>11</xdr:col>
      <xdr:colOff>114759</xdr:colOff>
      <xdr:row>51</xdr:row>
      <xdr:rowOff>66232</xdr:rowOff>
    </xdr:to>
    <xdr:sp macro="" textlink="">
      <xdr:nvSpPr>
        <xdr:cNvPr id="20" name="TextBox 19">
          <a:extLst>
            <a:ext uri="{FF2B5EF4-FFF2-40B4-BE49-F238E27FC236}">
              <a16:creationId xmlns:a16="http://schemas.microsoft.com/office/drawing/2014/main" id="{00FC1F50-162C-41FB-9629-8D4B8BFDB7E7}"/>
            </a:ext>
          </a:extLst>
        </xdr:cNvPr>
        <xdr:cNvSpPr txBox="1"/>
      </xdr:nvSpPr>
      <xdr:spPr>
        <a:xfrm>
          <a:off x="3870721" y="8700340"/>
          <a:ext cx="4828014" cy="112041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D" sz="1300" b="1" i="1" u="sng" baseline="0"/>
            <a:t>Forecasting Bulan Mei</a:t>
          </a:r>
        </a:p>
        <a:p>
          <a:pPr algn="l"/>
          <a:endParaRPr lang="en-ID" sz="1100" baseline="0"/>
        </a:p>
        <a:p>
          <a:pPr algn="l"/>
          <a:r>
            <a:rPr lang="en-ID" sz="1100" b="1" baseline="0"/>
            <a:t>Rumus: (Total Sales Saat Ini / Tanggal Sekarang) x Jumlah Hari Dalam Sebulan</a:t>
          </a:r>
        </a:p>
        <a:p>
          <a:pPr algn="l"/>
          <a:endParaRPr lang="en-ID" sz="1100" baseline="0"/>
        </a:p>
        <a:p>
          <a:pPr algn="l"/>
          <a:r>
            <a:rPr lang="en-ID" sz="1100" b="1" baseline="0"/>
            <a:t>Hasil Bulan Mei: </a:t>
          </a:r>
          <a:r>
            <a:rPr lang="en-ID" sz="1100" baseline="0"/>
            <a:t>(3,190,000 / 10) x 31 hari = 9,889,000 </a:t>
          </a:r>
        </a:p>
      </xdr:txBody>
    </xdr:sp>
    <xdr:clientData/>
  </xdr:twoCellAnchor>
  <xdr:twoCellAnchor>
    <xdr:from>
      <xdr:col>4</xdr:col>
      <xdr:colOff>546279</xdr:colOff>
      <xdr:row>52</xdr:row>
      <xdr:rowOff>6459</xdr:rowOff>
    </xdr:from>
    <xdr:to>
      <xdr:col>11</xdr:col>
      <xdr:colOff>9819</xdr:colOff>
      <xdr:row>66</xdr:row>
      <xdr:rowOff>137473</xdr:rowOff>
    </xdr:to>
    <xdr:grpSp>
      <xdr:nvGrpSpPr>
        <xdr:cNvPr id="5" name="Group 4">
          <a:extLst>
            <a:ext uri="{FF2B5EF4-FFF2-40B4-BE49-F238E27FC236}">
              <a16:creationId xmlns:a16="http://schemas.microsoft.com/office/drawing/2014/main" id="{2E75ABB3-FE8C-40E8-84A4-4A8C49CC58E1}"/>
            </a:ext>
          </a:extLst>
        </xdr:cNvPr>
        <xdr:cNvGrpSpPr/>
      </xdr:nvGrpSpPr>
      <xdr:grpSpPr>
        <a:xfrm>
          <a:off x="6663446" y="10314626"/>
          <a:ext cx="4628206" cy="2861514"/>
          <a:chOff x="3963496" y="9138676"/>
          <a:chExt cx="4628643" cy="2517062"/>
        </a:xfrm>
      </xdr:grpSpPr>
      <xdr:sp macro="" textlink="">
        <xdr:nvSpPr>
          <xdr:cNvPr id="21" name="TextBox 20">
            <a:extLst>
              <a:ext uri="{FF2B5EF4-FFF2-40B4-BE49-F238E27FC236}">
                <a16:creationId xmlns:a16="http://schemas.microsoft.com/office/drawing/2014/main" id="{B3CE6D78-784F-4512-9BAC-CE73EB7FDA62}"/>
              </a:ext>
            </a:extLst>
          </xdr:cNvPr>
          <xdr:cNvSpPr txBox="1"/>
        </xdr:nvSpPr>
        <xdr:spPr>
          <a:xfrm>
            <a:off x="3963496" y="9138676"/>
            <a:ext cx="4628643" cy="251706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D" sz="1300" b="1" i="1" u="sng" baseline="0"/>
              <a:t>Perbandingan Tgl 1 - 10 April vs Mei</a:t>
            </a:r>
          </a:p>
          <a:p>
            <a:pPr algn="l"/>
            <a:endParaRPr lang="en-ID" sz="1100" baseline="0"/>
          </a:p>
          <a:p>
            <a:pPr marL="0" marR="0" lvl="0" indent="0" algn="l" defTabSz="914400" eaLnBrk="1" fontAlgn="auto" latinLnBrk="0" hangingPunct="1">
              <a:lnSpc>
                <a:spcPct val="100000"/>
              </a:lnSpc>
              <a:spcBef>
                <a:spcPts val="0"/>
              </a:spcBef>
              <a:spcAft>
                <a:spcPts val="0"/>
              </a:spcAft>
              <a:buClrTx/>
              <a:buSzTx/>
              <a:buFontTx/>
              <a:buNone/>
              <a:tabLst/>
              <a:defRPr/>
            </a:pPr>
            <a:r>
              <a:rPr lang="en-ID" sz="1100" baseline="0">
                <a:solidFill>
                  <a:schemeClr val="dk1"/>
                </a:solidFill>
                <a:effectLst/>
                <a:latin typeface="+mn-lt"/>
                <a:ea typeface="+mn-ea"/>
                <a:cs typeface="+mn-cs"/>
              </a:rPr>
              <a:t>Dilakukan juga analisa </a:t>
            </a:r>
          </a:p>
          <a:p>
            <a:pPr marL="0" marR="0" lvl="0" indent="0" algn="l" defTabSz="914400" eaLnBrk="1" fontAlgn="auto" latinLnBrk="0" hangingPunct="1">
              <a:lnSpc>
                <a:spcPct val="100000"/>
              </a:lnSpc>
              <a:spcBef>
                <a:spcPts val="0"/>
              </a:spcBef>
              <a:spcAft>
                <a:spcPts val="0"/>
              </a:spcAft>
              <a:buClrTx/>
              <a:buSzTx/>
              <a:buFontTx/>
              <a:buNone/>
              <a:tabLst/>
              <a:defRPr/>
            </a:pPr>
            <a:r>
              <a:rPr lang="en-ID" sz="1100" baseline="0">
                <a:solidFill>
                  <a:schemeClr val="dk1"/>
                </a:solidFill>
                <a:effectLst/>
                <a:latin typeface="+mn-lt"/>
                <a:ea typeface="+mn-ea"/>
                <a:cs typeface="+mn-cs"/>
              </a:rPr>
              <a:t>perbandingan 10 hari di bulan </a:t>
            </a:r>
          </a:p>
          <a:p>
            <a:pPr marL="0" marR="0" lvl="0" indent="0" algn="l" defTabSz="914400" eaLnBrk="1" fontAlgn="auto" latinLnBrk="0" hangingPunct="1">
              <a:lnSpc>
                <a:spcPct val="100000"/>
              </a:lnSpc>
              <a:spcBef>
                <a:spcPts val="0"/>
              </a:spcBef>
              <a:spcAft>
                <a:spcPts val="0"/>
              </a:spcAft>
              <a:buClrTx/>
              <a:buSzTx/>
              <a:buFontTx/>
              <a:buNone/>
              <a:tabLst/>
              <a:defRPr/>
            </a:pPr>
            <a:r>
              <a:rPr lang="en-ID" sz="1100" baseline="0">
                <a:solidFill>
                  <a:schemeClr val="dk1"/>
                </a:solidFill>
                <a:effectLst/>
                <a:latin typeface="+mn-lt"/>
                <a:ea typeface="+mn-ea"/>
                <a:cs typeface="+mn-cs"/>
              </a:rPr>
              <a:t>April dan Mei, hasil yang </a:t>
            </a:r>
          </a:p>
          <a:p>
            <a:pPr marL="0" marR="0" lvl="0" indent="0" algn="l" defTabSz="914400" eaLnBrk="1" fontAlgn="auto" latinLnBrk="0" hangingPunct="1">
              <a:lnSpc>
                <a:spcPct val="100000"/>
              </a:lnSpc>
              <a:spcBef>
                <a:spcPts val="0"/>
              </a:spcBef>
              <a:spcAft>
                <a:spcPts val="0"/>
              </a:spcAft>
              <a:buClrTx/>
              <a:buSzTx/>
              <a:buFontTx/>
              <a:buNone/>
              <a:tabLst/>
              <a:defRPr/>
            </a:pPr>
            <a:r>
              <a:rPr lang="en-ID" sz="1100" baseline="0">
                <a:solidFill>
                  <a:schemeClr val="dk1"/>
                </a:solidFill>
                <a:effectLst/>
                <a:latin typeface="+mn-lt"/>
                <a:ea typeface="+mn-ea"/>
                <a:cs typeface="+mn-cs"/>
              </a:rPr>
              <a:t>diperoleh adalah penjualan</a:t>
            </a:r>
          </a:p>
          <a:p>
            <a:pPr marL="0" marR="0" lvl="0" indent="0" algn="l" defTabSz="914400" eaLnBrk="1" fontAlgn="auto" latinLnBrk="0" hangingPunct="1">
              <a:lnSpc>
                <a:spcPct val="100000"/>
              </a:lnSpc>
              <a:spcBef>
                <a:spcPts val="0"/>
              </a:spcBef>
              <a:spcAft>
                <a:spcPts val="0"/>
              </a:spcAft>
              <a:buClrTx/>
              <a:buSzTx/>
              <a:buFontTx/>
              <a:buNone/>
              <a:tabLst/>
              <a:defRPr/>
            </a:pPr>
            <a:r>
              <a:rPr lang="en-ID" sz="1100" baseline="0">
                <a:solidFill>
                  <a:schemeClr val="dk1"/>
                </a:solidFill>
                <a:effectLst/>
                <a:latin typeface="+mn-lt"/>
                <a:ea typeface="+mn-ea"/>
                <a:cs typeface="+mn-cs"/>
              </a:rPr>
              <a:t>pada bulan Mei dari tgl 1 - 10 </a:t>
            </a:r>
          </a:p>
          <a:p>
            <a:pPr marL="0" marR="0" lvl="0" indent="0" algn="l" defTabSz="914400" eaLnBrk="1" fontAlgn="auto" latinLnBrk="0" hangingPunct="1">
              <a:lnSpc>
                <a:spcPct val="100000"/>
              </a:lnSpc>
              <a:spcBef>
                <a:spcPts val="0"/>
              </a:spcBef>
              <a:spcAft>
                <a:spcPts val="0"/>
              </a:spcAft>
              <a:buClrTx/>
              <a:buSzTx/>
              <a:buFontTx/>
              <a:buNone/>
              <a:tabLst/>
              <a:defRPr/>
            </a:pPr>
            <a:r>
              <a:rPr lang="en-ID" sz="1100" baseline="0">
                <a:solidFill>
                  <a:schemeClr val="dk1"/>
                </a:solidFill>
                <a:effectLst/>
                <a:latin typeface="+mn-lt"/>
                <a:ea typeface="+mn-ea"/>
                <a:cs typeface="+mn-cs"/>
              </a:rPr>
              <a:t>lebih tinggi di bandingkan bulan</a:t>
            </a:r>
          </a:p>
          <a:p>
            <a:pPr marL="0" marR="0" lvl="0" indent="0" algn="l" defTabSz="914400" eaLnBrk="1" fontAlgn="auto" latinLnBrk="0" hangingPunct="1">
              <a:lnSpc>
                <a:spcPct val="100000"/>
              </a:lnSpc>
              <a:spcBef>
                <a:spcPts val="0"/>
              </a:spcBef>
              <a:spcAft>
                <a:spcPts val="0"/>
              </a:spcAft>
              <a:buClrTx/>
              <a:buSzTx/>
              <a:buFontTx/>
              <a:buNone/>
              <a:tabLst/>
              <a:defRPr/>
            </a:pPr>
            <a:r>
              <a:rPr lang="en-ID" sz="1100" baseline="0">
                <a:solidFill>
                  <a:schemeClr val="dk1"/>
                </a:solidFill>
                <a:effectLst/>
                <a:latin typeface="+mn-lt"/>
                <a:ea typeface="+mn-ea"/>
                <a:cs typeface="+mn-cs"/>
              </a:rPr>
              <a:t>April. Sesuai dengan hasil </a:t>
            </a:r>
          </a:p>
          <a:p>
            <a:pPr marL="0" marR="0" lvl="0" indent="0" algn="l" defTabSz="914400" eaLnBrk="1" fontAlgn="auto" latinLnBrk="0" hangingPunct="1">
              <a:lnSpc>
                <a:spcPct val="100000"/>
              </a:lnSpc>
              <a:spcBef>
                <a:spcPts val="0"/>
              </a:spcBef>
              <a:spcAft>
                <a:spcPts val="0"/>
              </a:spcAft>
              <a:buClrTx/>
              <a:buSzTx/>
              <a:buFontTx/>
              <a:buNone/>
              <a:tabLst/>
              <a:defRPr/>
            </a:pPr>
            <a:r>
              <a:rPr lang="en-ID" sz="1100" baseline="0">
                <a:solidFill>
                  <a:schemeClr val="dk1"/>
                </a:solidFill>
                <a:effectLst/>
                <a:latin typeface="+mn-lt"/>
                <a:ea typeface="+mn-ea"/>
                <a:cs typeface="+mn-cs"/>
              </a:rPr>
              <a:t>forecasting sebelumnya yg </a:t>
            </a:r>
          </a:p>
          <a:p>
            <a:pPr marL="0" marR="0" lvl="0" indent="0" algn="l" defTabSz="914400" eaLnBrk="1" fontAlgn="auto" latinLnBrk="0" hangingPunct="1">
              <a:lnSpc>
                <a:spcPct val="100000"/>
              </a:lnSpc>
              <a:spcBef>
                <a:spcPts val="0"/>
              </a:spcBef>
              <a:spcAft>
                <a:spcPts val="0"/>
              </a:spcAft>
              <a:buClrTx/>
              <a:buSzTx/>
              <a:buFontTx/>
              <a:buNone/>
              <a:tabLst/>
              <a:defRPr/>
            </a:pPr>
            <a:r>
              <a:rPr lang="en-ID" sz="1100" baseline="0">
                <a:solidFill>
                  <a:schemeClr val="dk1"/>
                </a:solidFill>
                <a:effectLst/>
                <a:latin typeface="+mn-lt"/>
                <a:ea typeface="+mn-ea"/>
                <a:cs typeface="+mn-cs"/>
              </a:rPr>
              <a:t>menyatakan bahwa bulan </a:t>
            </a:r>
          </a:p>
          <a:p>
            <a:pPr marL="0" marR="0" lvl="0" indent="0" algn="l" defTabSz="914400" eaLnBrk="1" fontAlgn="auto" latinLnBrk="0" hangingPunct="1">
              <a:lnSpc>
                <a:spcPct val="100000"/>
              </a:lnSpc>
              <a:spcBef>
                <a:spcPts val="0"/>
              </a:spcBef>
              <a:spcAft>
                <a:spcPts val="0"/>
              </a:spcAft>
              <a:buClrTx/>
              <a:buSzTx/>
              <a:buFontTx/>
              <a:buNone/>
              <a:tabLst/>
              <a:defRPr/>
            </a:pPr>
            <a:r>
              <a:rPr lang="en-ID" sz="1100" baseline="0">
                <a:solidFill>
                  <a:schemeClr val="dk1"/>
                </a:solidFill>
                <a:effectLst/>
                <a:latin typeface="+mn-lt"/>
                <a:ea typeface="+mn-ea"/>
                <a:cs typeface="+mn-cs"/>
              </a:rPr>
              <a:t>pada bulan Mei penjualan</a:t>
            </a:r>
          </a:p>
          <a:p>
            <a:pPr marL="0" marR="0" lvl="0" indent="0" algn="l" defTabSz="914400" eaLnBrk="1" fontAlgn="auto" latinLnBrk="0" hangingPunct="1">
              <a:lnSpc>
                <a:spcPct val="100000"/>
              </a:lnSpc>
              <a:spcBef>
                <a:spcPts val="0"/>
              </a:spcBef>
              <a:spcAft>
                <a:spcPts val="0"/>
              </a:spcAft>
              <a:buClrTx/>
              <a:buSzTx/>
              <a:buFontTx/>
              <a:buNone/>
              <a:tabLst/>
              <a:defRPr/>
            </a:pPr>
            <a:r>
              <a:rPr lang="en-ID" sz="1100" baseline="0">
                <a:solidFill>
                  <a:schemeClr val="dk1"/>
                </a:solidFill>
                <a:effectLst/>
                <a:latin typeface="+mn-lt"/>
                <a:ea typeface="+mn-ea"/>
                <a:cs typeface="+mn-cs"/>
              </a:rPr>
              <a:t>seharusnya stabil dan bahkan </a:t>
            </a:r>
          </a:p>
          <a:p>
            <a:pPr marL="0" marR="0" lvl="0" indent="0" algn="l" defTabSz="914400" eaLnBrk="1" fontAlgn="auto" latinLnBrk="0" hangingPunct="1">
              <a:lnSpc>
                <a:spcPct val="100000"/>
              </a:lnSpc>
              <a:spcBef>
                <a:spcPts val="0"/>
              </a:spcBef>
              <a:spcAft>
                <a:spcPts val="0"/>
              </a:spcAft>
              <a:buClrTx/>
              <a:buSzTx/>
              <a:buFontTx/>
              <a:buNone/>
              <a:tabLst/>
              <a:defRPr/>
            </a:pPr>
            <a:r>
              <a:rPr lang="en-ID" sz="1100" baseline="0">
                <a:solidFill>
                  <a:schemeClr val="dk1"/>
                </a:solidFill>
                <a:effectLst/>
                <a:latin typeface="+mn-lt"/>
                <a:ea typeface="+mn-ea"/>
                <a:cs typeface="+mn-cs"/>
              </a:rPr>
              <a:t>bisa menyamai rekor di bulan </a:t>
            </a:r>
          </a:p>
          <a:p>
            <a:pPr marL="0" marR="0" lvl="0" indent="0" algn="l" defTabSz="914400" eaLnBrk="1" fontAlgn="auto" latinLnBrk="0" hangingPunct="1">
              <a:lnSpc>
                <a:spcPct val="100000"/>
              </a:lnSpc>
              <a:spcBef>
                <a:spcPts val="0"/>
              </a:spcBef>
              <a:spcAft>
                <a:spcPts val="0"/>
              </a:spcAft>
              <a:buClrTx/>
              <a:buSzTx/>
              <a:buFontTx/>
              <a:buNone/>
              <a:tabLst/>
              <a:defRPr/>
            </a:pPr>
            <a:r>
              <a:rPr lang="en-ID" sz="1100" baseline="0">
                <a:solidFill>
                  <a:schemeClr val="dk1"/>
                </a:solidFill>
                <a:effectLst/>
                <a:latin typeface="+mn-lt"/>
                <a:ea typeface="+mn-ea"/>
                <a:cs typeface="+mn-cs"/>
              </a:rPr>
              <a:t>Februari.  </a:t>
            </a:r>
            <a:endParaRPr lang="en-ID">
              <a:effectLst/>
            </a:endParaRPr>
          </a:p>
          <a:p>
            <a:pPr algn="l"/>
            <a:endParaRPr lang="en-ID" sz="1100" baseline="0"/>
          </a:p>
        </xdr:txBody>
      </xdr:sp>
      <xdr:pic>
        <xdr:nvPicPr>
          <xdr:cNvPr id="148" name="Picture 147">
            <a:extLst>
              <a:ext uri="{FF2B5EF4-FFF2-40B4-BE49-F238E27FC236}">
                <a16:creationId xmlns:a16="http://schemas.microsoft.com/office/drawing/2014/main" id="{15E22E0F-E0AE-48D0-BAF6-2800F6C76C85}"/>
              </a:ext>
            </a:extLst>
          </xdr:cNvPr>
          <xdr:cNvPicPr>
            <a:picLocks noChangeAspect="1" noChangeArrowheads="1"/>
          </xdr:cNvPicPr>
        </xdr:nvPicPr>
        <xdr:blipFill>
          <a:blip xmlns:r="http://schemas.openxmlformats.org/officeDocument/2006/relationships" r:embed="rId5">
            <a:duotone>
              <a:prstClr val="black"/>
              <a:schemeClr val="accent5">
                <a:tint val="45000"/>
                <a:satMod val="400000"/>
              </a:schemeClr>
            </a:duotone>
            <a:extLst>
              <a:ext uri="{28A0092B-C50C-407E-A947-70E740481C1C}">
                <a14:useLocalDpi xmlns:a14="http://schemas.microsoft.com/office/drawing/2010/main" val="0"/>
              </a:ext>
            </a:extLst>
          </a:blip>
          <a:srcRect/>
          <a:stretch>
            <a:fillRect/>
          </a:stretch>
        </xdr:blipFill>
        <xdr:spPr bwMode="auto">
          <a:xfrm>
            <a:off x="5956465" y="9529061"/>
            <a:ext cx="2536279" cy="1910421"/>
          </a:xfrm>
          <a:prstGeom prst="rect">
            <a:avLst/>
          </a:prstGeom>
          <a:noFill/>
          <a:ln>
            <a:noFill/>
          </a:ln>
          <a:extLst>
            <a:ext uri="{909E8E84-426E-40DD-AFC4-6F175D3DCCD1}">
              <a14:hiddenFill xmlns:a14="http://schemas.microsoft.com/office/drawing/2010/main">
                <a:solidFill>
                  <a:srgbClr val="FFFFFF"/>
                </a:solidFill>
              </a14:hiddenFill>
            </a:ext>
          </a:extLst>
        </xdr:spPr>
      </xdr:pic>
    </xdr:grpSp>
    <xdr:clientData/>
  </xdr:twoCellAnchor>
  <xdr:twoCellAnchor>
    <xdr:from>
      <xdr:col>20</xdr:col>
      <xdr:colOff>160236</xdr:colOff>
      <xdr:row>3</xdr:row>
      <xdr:rowOff>186352</xdr:rowOff>
    </xdr:from>
    <xdr:to>
      <xdr:col>27</xdr:col>
      <xdr:colOff>37739</xdr:colOff>
      <xdr:row>25</xdr:row>
      <xdr:rowOff>139130</xdr:rowOff>
    </xdr:to>
    <xdr:graphicFrame macro="">
      <xdr:nvGraphicFramePr>
        <xdr:cNvPr id="24" name="Chart 23">
          <a:extLst>
            <a:ext uri="{FF2B5EF4-FFF2-40B4-BE49-F238E27FC236}">
              <a16:creationId xmlns:a16="http://schemas.microsoft.com/office/drawing/2014/main" id="{2B258696-02A3-4A6B-B343-2F3C8001CB5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4</xdr:col>
      <xdr:colOff>204138</xdr:colOff>
      <xdr:row>70</xdr:row>
      <xdr:rowOff>38100</xdr:rowOff>
    </xdr:from>
    <xdr:to>
      <xdr:col>8</xdr:col>
      <xdr:colOff>204139</xdr:colOff>
      <xdr:row>77</xdr:row>
      <xdr:rowOff>9359</xdr:rowOff>
    </xdr:to>
    <mc:AlternateContent xmlns:mc="http://schemas.openxmlformats.org/markup-compatibility/2006" xmlns:tsle="http://schemas.microsoft.com/office/drawing/2012/timeslicer">
      <mc:Choice Requires="tsle">
        <xdr:graphicFrame macro="">
          <xdr:nvGraphicFramePr>
            <xdr:cNvPr id="25" name="Order_Date 1">
              <a:extLst>
                <a:ext uri="{FF2B5EF4-FFF2-40B4-BE49-F238E27FC236}">
                  <a16:creationId xmlns:a16="http://schemas.microsoft.com/office/drawing/2014/main" id="{8DDC574E-70F0-4D7A-842C-DDB67B9A088D}"/>
                </a:ext>
              </a:extLst>
            </xdr:cNvPr>
            <xdr:cNvGraphicFramePr/>
          </xdr:nvGraphicFramePr>
          <xdr:xfrm>
            <a:off x="0" y="0"/>
            <a:ext cx="0" cy="0"/>
          </xdr:xfrm>
          <a:graphic>
            <a:graphicData uri="http://schemas.microsoft.com/office/drawing/2012/timeslicer">
              <tsle:timeslicer name="Order_Date 1"/>
            </a:graphicData>
          </a:graphic>
        </xdr:graphicFrame>
      </mc:Choice>
      <mc:Fallback xmlns="">
        <xdr:sp macro="" textlink="">
          <xdr:nvSpPr>
            <xdr:cNvPr id="0" name=""/>
            <xdr:cNvSpPr>
              <a:spLocks noTextEdit="1"/>
            </xdr:cNvSpPr>
          </xdr:nvSpPr>
          <xdr:spPr>
            <a:xfrm>
              <a:off x="4468407" y="13182600"/>
              <a:ext cx="3341078" cy="1371600"/>
            </a:xfrm>
            <a:prstGeom prst="rect">
              <a:avLst/>
            </a:prstGeom>
            <a:solidFill>
              <a:prstClr val="white"/>
            </a:solidFill>
            <a:ln w="1">
              <a:solidFill>
                <a:prstClr val="green"/>
              </a:solidFill>
            </a:ln>
          </xdr:spPr>
          <xdr:txBody>
            <a:bodyPr vertOverflow="clip" horzOverflow="clip"/>
            <a:lstStyle/>
            <a:p>
              <a:r>
                <a:rPr lang="en-ID" sz="1100"/>
                <a:t>Timeline: Works in Excel 2013 or higher. Do not move or resize.</a:t>
              </a:r>
            </a:p>
          </xdr:txBody>
        </xdr:sp>
      </mc:Fallback>
    </mc:AlternateContent>
    <xdr:clientData/>
  </xdr:twoCellAnchor>
  <xdr:twoCellAnchor editAs="oneCell">
    <xdr:from>
      <xdr:col>18</xdr:col>
      <xdr:colOff>625337</xdr:colOff>
      <xdr:row>78</xdr:row>
      <xdr:rowOff>6213</xdr:rowOff>
    </xdr:from>
    <xdr:to>
      <xdr:col>19</xdr:col>
      <xdr:colOff>1094409</xdr:colOff>
      <xdr:row>84</xdr:row>
      <xdr:rowOff>26847</xdr:rowOff>
    </xdr:to>
    <mc:AlternateContent xmlns:mc="http://schemas.openxmlformats.org/markup-compatibility/2006" xmlns:a14="http://schemas.microsoft.com/office/drawing/2010/main">
      <mc:Choice Requires="a14">
        <xdr:graphicFrame macro="">
          <xdr:nvGraphicFramePr>
            <xdr:cNvPr id="7" name="Sales High vs Low">
              <a:extLst>
                <a:ext uri="{FF2B5EF4-FFF2-40B4-BE49-F238E27FC236}">
                  <a16:creationId xmlns:a16="http://schemas.microsoft.com/office/drawing/2014/main" id="{932E9AEE-28FA-46AC-9F2A-6B5DDCAAA8B7}"/>
                </a:ext>
              </a:extLst>
            </xdr:cNvPr>
            <xdr:cNvGraphicFramePr/>
          </xdr:nvGraphicFramePr>
          <xdr:xfrm>
            <a:off x="0" y="0"/>
            <a:ext cx="0" cy="0"/>
          </xdr:xfrm>
          <a:graphic>
            <a:graphicData uri="http://schemas.microsoft.com/office/drawing/2010/slicer">
              <sle:slicer xmlns:sle="http://schemas.microsoft.com/office/drawing/2010/slicer" name="Sales High vs Low"/>
            </a:graphicData>
          </a:graphic>
        </xdr:graphicFrame>
      </mc:Choice>
      <mc:Fallback xmlns="">
        <xdr:sp macro="" textlink="">
          <xdr:nvSpPr>
            <xdr:cNvPr id="0" name=""/>
            <xdr:cNvSpPr>
              <a:spLocks noTextEdit="1"/>
            </xdr:cNvSpPr>
          </xdr:nvSpPr>
          <xdr:spPr>
            <a:xfrm>
              <a:off x="16129106" y="14674713"/>
              <a:ext cx="1846534" cy="1230476"/>
            </a:xfrm>
            <a:prstGeom prst="rect">
              <a:avLst/>
            </a:prstGeom>
            <a:solidFill>
              <a:prstClr val="white"/>
            </a:solidFill>
            <a:ln w="1">
              <a:solidFill>
                <a:prstClr val="green"/>
              </a:solidFill>
            </a:ln>
          </xdr:spPr>
          <xdr:txBody>
            <a:bodyPr vertOverflow="clip" horzOverflow="clip"/>
            <a:lstStyle/>
            <a:p>
              <a:r>
                <a:rPr lang="en-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18</xdr:col>
      <xdr:colOff>342113</xdr:colOff>
      <xdr:row>92</xdr:row>
      <xdr:rowOff>9847</xdr:rowOff>
    </xdr:from>
    <xdr:to>
      <xdr:col>20</xdr:col>
      <xdr:colOff>818365</xdr:colOff>
      <xdr:row>120</xdr:row>
      <xdr:rowOff>14216</xdr:rowOff>
    </xdr:to>
    <xdr:sp macro="" textlink="">
      <xdr:nvSpPr>
        <xdr:cNvPr id="22" name="TextBox 21">
          <a:extLst>
            <a:ext uri="{FF2B5EF4-FFF2-40B4-BE49-F238E27FC236}">
              <a16:creationId xmlns:a16="http://schemas.microsoft.com/office/drawing/2014/main" id="{A6D4E728-F997-4642-A269-985E82BC62D3}"/>
            </a:ext>
          </a:extLst>
        </xdr:cNvPr>
        <xdr:cNvSpPr txBox="1"/>
      </xdr:nvSpPr>
      <xdr:spPr>
        <a:xfrm>
          <a:off x="15809576" y="16827869"/>
          <a:ext cx="3035207" cy="5179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D" sz="1300" b="1" i="1" u="sng" baseline="0"/>
            <a:t>AOV (Average Order Value)</a:t>
          </a:r>
          <a:endParaRPr lang="en-ID" sz="1100" baseline="0"/>
        </a:p>
        <a:p>
          <a:pPr algn="ctr"/>
          <a:r>
            <a:rPr lang="en-ID" sz="1100" baseline="0"/>
            <a:t>Setiap order_id memiliki ID yang berbeda pada setiap pembelian, sehingga secara otomatis rata - rata dari total sales adalah nilai rata rata dari Average Order Value (AOV) sebesar Rp 316,846. AOV bulan Jan ke Feb mengalami kenaikan, Feb ke Mar menurun tetapi tidak banyak. Lalu bulan Mar - Mei terus mengalami kenaikan, sehingga dapat dikatakan bahwa pelanggan belanja lebih banyak. Sehingga dapat dikatakan AOV rata-rata mengalami kenaikan setiap bulannya. </a:t>
          </a:r>
        </a:p>
        <a:p>
          <a:pPr algn="ctr"/>
          <a:endParaRPr lang="en-ID" sz="1100" baseline="0"/>
        </a:p>
        <a:p>
          <a:pPr algn="ctr"/>
          <a:endParaRPr lang="en-ID" sz="1100" baseline="0"/>
        </a:p>
        <a:p>
          <a:pPr marL="0" marR="0" lvl="0" indent="0" algn="ctr" defTabSz="914400" eaLnBrk="1" fontAlgn="auto" latinLnBrk="0" hangingPunct="1">
            <a:lnSpc>
              <a:spcPct val="100000"/>
            </a:lnSpc>
            <a:spcBef>
              <a:spcPts val="0"/>
            </a:spcBef>
            <a:spcAft>
              <a:spcPts val="0"/>
            </a:spcAft>
            <a:buClrTx/>
            <a:buSzTx/>
            <a:buFontTx/>
            <a:buNone/>
            <a:tabLst/>
            <a:defRPr/>
          </a:pPr>
          <a:r>
            <a:rPr lang="en-ID" sz="1300" b="1" i="1" u="sng" baseline="0">
              <a:solidFill>
                <a:schemeClr val="dk1"/>
              </a:solidFill>
              <a:effectLst/>
              <a:latin typeface="+mn-lt"/>
              <a:ea typeface="+mn-ea"/>
              <a:cs typeface="+mn-cs"/>
            </a:rPr>
            <a:t>Perilaku Pelanggan</a:t>
          </a:r>
        </a:p>
        <a:p>
          <a:pPr marL="0" marR="0" lvl="0" indent="0" algn="ctr" defTabSz="914400" eaLnBrk="1" fontAlgn="auto" latinLnBrk="0" hangingPunct="1">
            <a:lnSpc>
              <a:spcPct val="100000"/>
            </a:lnSpc>
            <a:spcBef>
              <a:spcPts val="0"/>
            </a:spcBef>
            <a:spcAft>
              <a:spcPts val="0"/>
            </a:spcAft>
            <a:buClrTx/>
            <a:buSzTx/>
            <a:buFontTx/>
            <a:buNone/>
            <a:tabLst/>
            <a:defRPr/>
          </a:pPr>
          <a:r>
            <a:rPr lang="en-ID" sz="1100" b="0" i="0" u="none">
              <a:effectLst/>
            </a:rPr>
            <a:t>Dari </a:t>
          </a:r>
          <a:r>
            <a:rPr lang="en-ID" sz="1100" b="0" i="0" u="none" baseline="0">
              <a:effectLst/>
            </a:rPr>
            <a:t>hasil Average Quantity total didapat angka sebesar 2.73, dan disetiap bulannya Average Quantity memiliki angka aman di 2.5 sehingga dapat dikatakan bahwa pelanggan sering melakukan </a:t>
          </a:r>
          <a:r>
            <a:rPr lang="en-ID" sz="1100" b="0" i="1" u="none" baseline="0">
              <a:effectLst/>
            </a:rPr>
            <a:t>bulk buying </a:t>
          </a:r>
          <a:r>
            <a:rPr lang="en-ID" sz="1100" b="0" i="0" u="none" baseline="0">
              <a:effectLst/>
            </a:rPr>
            <a:t>atau membeli banyak barang sekaligus.</a:t>
          </a:r>
          <a:endParaRPr lang="en-ID" sz="1300" b="0" i="0" u="none" baseline="0">
            <a:effectLst/>
          </a:endParaRPr>
        </a:p>
        <a:p>
          <a:pPr marL="0" marR="0" lvl="0" indent="0" algn="ctr" defTabSz="914400" eaLnBrk="1" fontAlgn="auto" latinLnBrk="0" hangingPunct="1">
            <a:lnSpc>
              <a:spcPct val="100000"/>
            </a:lnSpc>
            <a:spcBef>
              <a:spcPts val="0"/>
            </a:spcBef>
            <a:spcAft>
              <a:spcPts val="0"/>
            </a:spcAft>
            <a:buClrTx/>
            <a:buSzTx/>
            <a:buFontTx/>
            <a:buNone/>
            <a:tabLst/>
            <a:defRPr/>
          </a:pPr>
          <a:endParaRPr lang="en-ID" sz="1300" b="0" i="1" u="none">
            <a:effectLst/>
          </a:endParaRPr>
        </a:p>
        <a:p>
          <a:pPr marL="0" marR="0" lvl="0" indent="0" algn="ctr" defTabSz="914400" eaLnBrk="1" fontAlgn="auto" latinLnBrk="0" hangingPunct="1">
            <a:lnSpc>
              <a:spcPct val="100000"/>
            </a:lnSpc>
            <a:spcBef>
              <a:spcPts val="0"/>
            </a:spcBef>
            <a:spcAft>
              <a:spcPts val="0"/>
            </a:spcAft>
            <a:buClrTx/>
            <a:buSzTx/>
            <a:buFontTx/>
            <a:buNone/>
            <a:tabLst/>
            <a:defRPr/>
          </a:pPr>
          <a:endParaRPr lang="en-ID" sz="1300" b="0" i="1" u="none">
            <a:effectLst/>
          </a:endParaRPr>
        </a:p>
        <a:p>
          <a:pPr marL="0" marR="0" lvl="0" indent="0" algn="ctr" defTabSz="914400" eaLnBrk="1" fontAlgn="auto" latinLnBrk="0" hangingPunct="1">
            <a:lnSpc>
              <a:spcPct val="100000"/>
            </a:lnSpc>
            <a:spcBef>
              <a:spcPts val="0"/>
            </a:spcBef>
            <a:spcAft>
              <a:spcPts val="0"/>
            </a:spcAft>
            <a:buClrTx/>
            <a:buSzTx/>
            <a:buFontTx/>
            <a:buNone/>
            <a:tabLst/>
            <a:defRPr/>
          </a:pPr>
          <a:r>
            <a:rPr lang="en-ID" sz="1300" b="1" i="1" u="sng" baseline="0">
              <a:solidFill>
                <a:schemeClr val="dk1"/>
              </a:solidFill>
              <a:effectLst/>
              <a:latin typeface="+mn-lt"/>
              <a:ea typeface="+mn-ea"/>
              <a:cs typeface="+mn-cs"/>
            </a:rPr>
            <a:t>Quantity VS Sales per Order</a:t>
          </a:r>
        </a:p>
        <a:p>
          <a:pPr marL="0" marR="0" lvl="0" indent="0" algn="ctr" defTabSz="914400" eaLnBrk="1" fontAlgn="auto" latinLnBrk="0" hangingPunct="1">
            <a:lnSpc>
              <a:spcPct val="100000"/>
            </a:lnSpc>
            <a:spcBef>
              <a:spcPts val="0"/>
            </a:spcBef>
            <a:spcAft>
              <a:spcPts val="0"/>
            </a:spcAft>
            <a:buClrTx/>
            <a:buSzTx/>
            <a:buFontTx/>
            <a:buNone/>
            <a:tabLst/>
            <a:defRPr/>
          </a:pPr>
          <a:r>
            <a:rPr lang="en-ID" sz="1100" baseline="0"/>
            <a:t>AverageOrder Value atau rata-rata pembelian/ transaksi dengan harga barang yang tinggi "High" lebih banyak dibeli dibanding barang dengan harga rendah "Low". </a:t>
          </a:r>
        </a:p>
      </xdr:txBody>
    </xdr:sp>
    <xdr:clientData/>
  </xdr:twoCellAnchor>
  <xdr:twoCellAnchor editAs="oneCell">
    <xdr:from>
      <xdr:col>20</xdr:col>
      <xdr:colOff>125021</xdr:colOff>
      <xdr:row>77</xdr:row>
      <xdr:rowOff>179820</xdr:rowOff>
    </xdr:from>
    <xdr:to>
      <xdr:col>22</xdr:col>
      <xdr:colOff>232</xdr:colOff>
      <xdr:row>90</xdr:row>
      <xdr:rowOff>124436</xdr:rowOff>
    </xdr:to>
    <mc:AlternateContent xmlns:mc="http://schemas.openxmlformats.org/markup-compatibility/2006" xmlns:a14="http://schemas.microsoft.com/office/drawing/2010/main">
      <mc:Choice Requires="a14">
        <xdr:graphicFrame macro="">
          <xdr:nvGraphicFramePr>
            <xdr:cNvPr id="8" name="Order_Date 2">
              <a:extLst>
                <a:ext uri="{FF2B5EF4-FFF2-40B4-BE49-F238E27FC236}">
                  <a16:creationId xmlns:a16="http://schemas.microsoft.com/office/drawing/2014/main" id="{5EF3DE5B-7017-441B-9A68-E506A38979C4}"/>
                </a:ext>
              </a:extLst>
            </xdr:cNvPr>
            <xdr:cNvGraphicFramePr/>
          </xdr:nvGraphicFramePr>
          <xdr:xfrm>
            <a:off x="0" y="0"/>
            <a:ext cx="0" cy="0"/>
          </xdr:xfrm>
          <a:graphic>
            <a:graphicData uri="http://schemas.microsoft.com/office/drawing/2010/slicer">
              <sle:slicer xmlns:sle="http://schemas.microsoft.com/office/drawing/2010/slicer" name="Order_Date 2"/>
            </a:graphicData>
          </a:graphic>
        </xdr:graphicFrame>
      </mc:Choice>
      <mc:Fallback xmlns="">
        <xdr:sp macro="" textlink="">
          <xdr:nvSpPr>
            <xdr:cNvPr id="0" name=""/>
            <xdr:cNvSpPr>
              <a:spLocks noTextEdit="1"/>
            </xdr:cNvSpPr>
          </xdr:nvSpPr>
          <xdr:spPr>
            <a:xfrm>
              <a:off x="18193213" y="14657820"/>
              <a:ext cx="1824173" cy="2494643"/>
            </a:xfrm>
            <a:prstGeom prst="rect">
              <a:avLst/>
            </a:prstGeom>
            <a:solidFill>
              <a:prstClr val="white"/>
            </a:solidFill>
            <a:ln w="1">
              <a:solidFill>
                <a:prstClr val="green"/>
              </a:solidFill>
            </a:ln>
          </xdr:spPr>
          <xdr:txBody>
            <a:bodyPr vertOverflow="clip" horzOverflow="clip"/>
            <a:lstStyle/>
            <a:p>
              <a:r>
                <a:rPr lang="en-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33</xdr:col>
      <xdr:colOff>418417</xdr:colOff>
      <xdr:row>13</xdr:row>
      <xdr:rowOff>749</xdr:rowOff>
    </xdr:from>
    <xdr:to>
      <xdr:col>38</xdr:col>
      <xdr:colOff>1209722</xdr:colOff>
      <xdr:row>35</xdr:row>
      <xdr:rowOff>86591</xdr:rowOff>
    </xdr:to>
    <xdr:graphicFrame macro="">
      <xdr:nvGraphicFramePr>
        <xdr:cNvPr id="15" name="Chart 14">
          <a:extLst>
            <a:ext uri="{FF2B5EF4-FFF2-40B4-BE49-F238E27FC236}">
              <a16:creationId xmlns:a16="http://schemas.microsoft.com/office/drawing/2014/main" id="{9EA5A0EF-9050-4ECD-BEE4-09DF572C8BE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c:userShapes xmlns:c="http://schemas.openxmlformats.org/drawingml/2006/chart">
  <cdr:relSizeAnchor xmlns:cdr="http://schemas.openxmlformats.org/drawingml/2006/chartDrawing">
    <cdr:from>
      <cdr:x>0.70273</cdr:x>
      <cdr:y>0.57039</cdr:y>
    </cdr:from>
    <cdr:to>
      <cdr:x>0.78709</cdr:x>
      <cdr:y>0.63109</cdr:y>
    </cdr:to>
    <cdr:sp macro="" textlink="">
      <cdr:nvSpPr>
        <cdr:cNvPr id="2" name="TextBox 1">
          <a:extLst xmlns:a="http://schemas.openxmlformats.org/drawingml/2006/main">
            <a:ext uri="{FF2B5EF4-FFF2-40B4-BE49-F238E27FC236}">
              <a16:creationId xmlns:a16="http://schemas.microsoft.com/office/drawing/2014/main" id="{72E84A3C-29EB-4144-A5C0-BFC416D6D97D}"/>
            </a:ext>
          </a:extLst>
        </cdr:cNvPr>
        <cdr:cNvSpPr txBox="1"/>
      </cdr:nvSpPr>
      <cdr:spPr>
        <a:xfrm xmlns:a="http://schemas.openxmlformats.org/drawingml/2006/main">
          <a:off x="3520783" y="1510361"/>
          <a:ext cx="422671" cy="160734"/>
        </a:xfrm>
        <a:prstGeom xmlns:a="http://schemas.openxmlformats.org/drawingml/2006/main" prst="rect">
          <a:avLst/>
        </a:prstGeom>
      </cdr:spPr>
      <cdr:txBody>
        <a:bodyPr xmlns:a="http://schemas.openxmlformats.org/drawingml/2006/main" vertOverflow="clip" wrap="square" rtlCol="0" anchor="ctr"/>
        <a:lstStyle xmlns:a="http://schemas.openxmlformats.org/drawingml/2006/main"/>
        <a:p xmlns:a="http://schemas.openxmlformats.org/drawingml/2006/main">
          <a:r>
            <a:rPr lang="en-ID" sz="800" b="1"/>
            <a:t>MTD</a:t>
          </a:r>
        </a:p>
      </cdr:txBody>
    </cdr:sp>
  </cdr:relSizeAnchor>
</c:userShape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P" refreshedDate="46030.086081828704" createdVersion="7" refreshedVersion="7" minRefreshableVersion="3" recordCount="130" xr:uid="{CBE9BD81-44E9-45BA-99C9-198EE30263DF}">
  <cacheSource type="worksheet">
    <worksheetSource name="Table4"/>
  </cacheSource>
  <cacheFields count="13">
    <cacheField name="Order_ID" numFmtId="0">
      <sharedItems containsSemiMixedTypes="0" containsString="0" containsNumber="1" containsInteger="1" minValue="1001" maxValue="1130" count="130">
        <n v="1001"/>
        <n v="1002"/>
        <n v="1003"/>
        <n v="1004"/>
        <n v="1005"/>
        <n v="1006"/>
        <n v="1007"/>
        <n v="1008"/>
        <n v="1009"/>
        <n v="1010"/>
        <n v="1011"/>
        <n v="1012"/>
        <n v="1013"/>
        <n v="1014"/>
        <n v="1015"/>
        <n v="1016"/>
        <n v="1017"/>
        <n v="1018"/>
        <n v="1019"/>
        <n v="1020"/>
        <n v="1021"/>
        <n v="1022"/>
        <n v="1023"/>
        <n v="1024"/>
        <n v="1025"/>
        <n v="1026"/>
        <n v="1027"/>
        <n v="1028"/>
        <n v="1029"/>
        <n v="1030"/>
        <n v="1031"/>
        <n v="1032"/>
        <n v="1033"/>
        <n v="1034"/>
        <n v="1035"/>
        <n v="1036"/>
        <n v="1037"/>
        <n v="1038"/>
        <n v="1039"/>
        <n v="1040"/>
        <n v="1041"/>
        <n v="1042"/>
        <n v="1043"/>
        <n v="1044"/>
        <n v="1045"/>
        <n v="1046"/>
        <n v="1047"/>
        <n v="1048"/>
        <n v="1049"/>
        <n v="1050"/>
        <n v="1051"/>
        <n v="1052"/>
        <n v="1053"/>
        <n v="1054"/>
        <n v="1055"/>
        <n v="1056"/>
        <n v="1057"/>
        <n v="1058"/>
        <n v="1059"/>
        <n v="1060"/>
        <n v="1061"/>
        <n v="1062"/>
        <n v="1063"/>
        <n v="1064"/>
        <n v="1065"/>
        <n v="1066"/>
        <n v="1067"/>
        <n v="1068"/>
        <n v="1069"/>
        <n v="1070"/>
        <n v="1071"/>
        <n v="1072"/>
        <n v="1073"/>
        <n v="1074"/>
        <n v="1075"/>
        <n v="1076"/>
        <n v="1077"/>
        <n v="1078"/>
        <n v="1079"/>
        <n v="1080"/>
        <n v="1081"/>
        <n v="1082"/>
        <n v="1083"/>
        <n v="1084"/>
        <n v="1085"/>
        <n v="1086"/>
        <n v="1087"/>
        <n v="1088"/>
        <n v="1089"/>
        <n v="1090"/>
        <n v="1091"/>
        <n v="1092"/>
        <n v="1093"/>
        <n v="1094"/>
        <n v="1095"/>
        <n v="1096"/>
        <n v="1097"/>
        <n v="1098"/>
        <n v="1099"/>
        <n v="1100"/>
        <n v="1101"/>
        <n v="1102"/>
        <n v="1103"/>
        <n v="1104"/>
        <n v="1105"/>
        <n v="1106"/>
        <n v="1107"/>
        <n v="1108"/>
        <n v="1109"/>
        <n v="1110"/>
        <n v="1111"/>
        <n v="1112"/>
        <n v="1113"/>
        <n v="1114"/>
        <n v="1115"/>
        <n v="1116"/>
        <n v="1117"/>
        <n v="1118"/>
        <n v="1119"/>
        <n v="1120"/>
        <n v="1121"/>
        <n v="1122"/>
        <n v="1123"/>
        <n v="1124"/>
        <n v="1125"/>
        <n v="1126"/>
        <n v="1127"/>
        <n v="1128"/>
        <n v="1129"/>
        <n v="1130"/>
      </sharedItems>
    </cacheField>
    <cacheField name="Order_Date" numFmtId="14">
      <sharedItems containsSemiMixedTypes="0" containsNonDate="0" containsDate="1" containsString="0" minDate="2024-01-01T00:00:00" maxDate="2024-05-11T00:00:00" count="122">
        <d v="2024-01-01T00:00:00"/>
        <d v="2024-01-02T00:00:00"/>
        <d v="2024-01-03T00:00:00"/>
        <d v="2024-01-05T00:00:00"/>
        <d v="2024-01-06T00:00:00"/>
        <d v="2024-01-07T00:00:00"/>
        <d v="2024-01-08T00:00:00"/>
        <d v="2024-01-09T00:00:00"/>
        <d v="2024-01-10T00:00:00"/>
        <d v="2024-01-11T00:00:00"/>
        <d v="2024-01-12T00:00:00"/>
        <d v="2024-01-13T00:00:00"/>
        <d v="2024-01-15T00:00:00"/>
        <d v="2024-01-16T00:00:00"/>
        <d v="2024-01-17T00:00:00"/>
        <d v="2024-01-18T00:00:00"/>
        <d v="2024-01-19T00:00:00"/>
        <d v="2024-01-20T00:00:00"/>
        <d v="2024-01-21T00:00:00"/>
        <d v="2024-01-22T00:00:00"/>
        <d v="2024-01-23T00:00:00"/>
        <d v="2024-01-25T00:00:00"/>
        <d v="2024-01-26T00:00:00"/>
        <d v="2024-01-27T00:00:00"/>
        <d v="2024-01-28T00:00:00"/>
        <d v="2024-01-29T00:00:00"/>
        <d v="2024-01-30T00:00:00"/>
        <d v="2024-02-01T00:00:00"/>
        <d v="2024-02-02T00:00:00"/>
        <d v="2024-02-04T00:00:00"/>
        <d v="2024-02-05T00:00:00"/>
        <d v="2024-02-06T00:00:00"/>
        <d v="2024-02-07T00:00:00"/>
        <d v="2024-02-08T00:00:00"/>
        <d v="2024-02-09T00:00:00"/>
        <d v="2024-02-10T00:00:00"/>
        <d v="2024-02-11T00:00:00"/>
        <d v="2024-02-13T00:00:00"/>
        <d v="2024-02-14T00:00:00"/>
        <d v="2024-02-15T00:00:00"/>
        <d v="2024-02-16T00:00:00"/>
        <d v="2024-02-17T00:00:00"/>
        <d v="2024-02-18T00:00:00"/>
        <d v="2024-02-19T00:00:00"/>
        <d v="2024-02-20T00:00:00"/>
        <d v="2024-02-21T00:00:00"/>
        <d v="2024-02-23T00:00:00"/>
        <d v="2024-02-24T00:00:00"/>
        <d v="2024-02-25T00:00:00"/>
        <d v="2024-02-26T00:00:00"/>
        <d v="2024-02-27T00:00:00"/>
        <d v="2024-02-28T00:00:00"/>
        <d v="2024-02-29T00:00:00"/>
        <d v="2024-03-01T00:00:00"/>
        <d v="2024-03-03T00:00:00"/>
        <d v="2024-03-04T00:00:00"/>
        <d v="2024-03-05T00:00:00"/>
        <d v="2024-03-06T00:00:00"/>
        <d v="2024-03-07T00:00:00"/>
        <d v="2024-03-08T00:00:00"/>
        <d v="2024-03-10T00:00:00"/>
        <d v="2024-03-11T00:00:00"/>
        <d v="2024-03-12T00:00:00"/>
        <d v="2024-03-13T00:00:00"/>
        <d v="2024-03-14T00:00:00"/>
        <d v="2024-03-15T00:00:00"/>
        <d v="2024-03-16T00:00:00"/>
        <d v="2024-03-17T00:00:00"/>
        <d v="2024-03-18T00:00:00"/>
        <d v="2024-03-19T00:00:00"/>
        <d v="2024-03-20T00:00:00"/>
        <d v="2024-03-21T00:00:00"/>
        <d v="2024-03-22T00:00:00"/>
        <d v="2024-03-23T00:00:00"/>
        <d v="2024-03-24T00:00:00"/>
        <d v="2024-03-25T00:00:00"/>
        <d v="2024-03-26T00:00:00"/>
        <d v="2024-03-27T00:00:00"/>
        <d v="2024-03-28T00:00:00"/>
        <d v="2024-03-29T00:00:00"/>
        <d v="2024-03-30T00:00:00"/>
        <d v="2024-03-31T00:00:00"/>
        <d v="2024-04-01T00:00:00"/>
        <d v="2024-04-02T00:00:00"/>
        <d v="2024-04-03T00:00:00"/>
        <d v="2024-04-04T00:00:00"/>
        <d v="2024-04-05T00:00:00"/>
        <d v="2024-04-06T00:00:00"/>
        <d v="2024-04-07T00:00:00"/>
        <d v="2024-04-08T00:00:00"/>
        <d v="2024-04-09T00:00:00"/>
        <d v="2024-04-10T00:00:00"/>
        <d v="2024-04-11T00:00:00"/>
        <d v="2024-04-12T00:00:00"/>
        <d v="2024-04-13T00:00:00"/>
        <d v="2024-04-14T00:00:00"/>
        <d v="2024-04-15T00:00:00"/>
        <d v="2024-04-16T00:00:00"/>
        <d v="2024-04-17T00:00:00"/>
        <d v="2024-04-18T00:00:00"/>
        <d v="2024-04-19T00:00:00"/>
        <d v="2024-04-20T00:00:00"/>
        <d v="2024-04-21T00:00:00"/>
        <d v="2024-04-22T00:00:00"/>
        <d v="2024-04-23T00:00:00"/>
        <d v="2024-04-24T00:00:00"/>
        <d v="2024-04-25T00:00:00"/>
        <d v="2024-04-26T00:00:00"/>
        <d v="2024-04-27T00:00:00"/>
        <d v="2024-04-28T00:00:00"/>
        <d v="2024-04-29T00:00:00"/>
        <d v="2024-04-30T00:00:00"/>
        <d v="2024-05-01T00:00:00"/>
        <d v="2024-05-02T00:00:00"/>
        <d v="2024-05-03T00:00:00"/>
        <d v="2024-05-04T00:00:00"/>
        <d v="2024-05-05T00:00:00"/>
        <d v="2024-05-06T00:00:00"/>
        <d v="2024-05-07T00:00:00"/>
        <d v="2024-05-08T00:00:00"/>
        <d v="2024-05-09T00:00:00"/>
        <d v="2024-05-10T00:00:00"/>
      </sharedItems>
      <fieldGroup par="9" base="1">
        <rangePr groupBy="months" startDate="2024-01-01T00:00:00" endDate="2024-05-11T00:00:00"/>
        <groupItems count="14">
          <s v="&lt;01/01/2024"/>
          <s v="Jan"/>
          <s v="Feb"/>
          <s v="Mar"/>
          <s v="Apr"/>
          <s v="May"/>
          <s v="Jun"/>
          <s v="Jul"/>
          <s v="Aug"/>
          <s v="Sep"/>
          <s v="Oct"/>
          <s v="Nov"/>
          <s v="Dec"/>
          <s v="&gt;11/05/2024"/>
        </groupItems>
      </fieldGroup>
    </cacheField>
    <cacheField name="Region_Clean" numFmtId="0">
      <sharedItems count="4">
        <s v="East"/>
        <s v="North"/>
        <s v="South"/>
        <s v="West"/>
      </sharedItems>
    </cacheField>
    <cacheField name="Category_Clean" numFmtId="0">
      <sharedItems count="4">
        <s v="Apparel"/>
        <s v="Electronics"/>
        <s v="Accessories"/>
        <s v="Footwear"/>
      </sharedItems>
    </cacheField>
    <cacheField name="Product_Clean" numFmtId="0">
      <sharedItems count="11">
        <s v="T-Shirt"/>
        <s v="Headphone"/>
        <s v="Cap"/>
        <s v="Jacket"/>
        <s v="Laptop Sleeve"/>
        <s v="Belt"/>
        <s v="Shoes"/>
        <s v="Mouse"/>
        <s v="Keyboard"/>
        <s v="Hoodie"/>
        <s v="Sandals"/>
      </sharedItems>
    </cacheField>
    <cacheField name="Quantity" numFmtId="0">
      <sharedItems containsSemiMixedTypes="0" containsString="0" containsNumber="1" containsInteger="1" minValue="1" maxValue="6" count="6">
        <n v="5"/>
        <n v="3"/>
        <n v="2"/>
        <n v="4"/>
        <n v="1"/>
        <n v="6"/>
      </sharedItems>
    </cacheField>
    <cacheField name="Unit_Price" numFmtId="164">
      <sharedItems containsSemiMixedTypes="0" containsString="0" containsNumber="1" containsInteger="1" minValue="45000" maxValue="250000"/>
    </cacheField>
    <cacheField name="Total_Sales" numFmtId="0">
      <sharedItems containsSemiMixedTypes="0" containsString="0" containsNumber="1" containsInteger="1" minValue="90000" maxValue="1000000"/>
    </cacheField>
    <cacheField name="Sales High vs Low" numFmtId="0">
      <sharedItems count="2">
        <s v="High"/>
        <s v="Low"/>
      </sharedItems>
    </cacheField>
    <cacheField name="Years" numFmtId="0" databaseField="0">
      <fieldGroup base="1">
        <rangePr groupBy="years" startDate="2024-01-01T00:00:00" endDate="2024-05-11T00:00:00"/>
        <groupItems count="3">
          <s v="&lt;01/01/2024"/>
          <s v="2024"/>
          <s v="&gt;11/05/2024"/>
        </groupItems>
      </fieldGroup>
    </cacheField>
    <cacheField name="Sales(High/Low)" numFmtId="0" formula="IF(Total_Sales&gt;=200000,&quot;High&quot;,&quot;Low&quot;)" databaseField="0"/>
    <cacheField name="Cek_Sales" numFmtId="0" formula="Quantity*Unit_Price" databaseField="0"/>
    <cacheField name="Cek_Sales2" numFmtId="0" formula="Quantity*Unit_Price" databaseField="0"/>
  </cacheFields>
  <extLst>
    <ext xmlns:x14="http://schemas.microsoft.com/office/spreadsheetml/2009/9/main" uri="{725AE2AE-9491-48be-B2B4-4EB974FC3084}">
      <x14:pivotCacheDefinition pivotCacheId="126974126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30">
  <r>
    <x v="0"/>
    <x v="0"/>
    <x v="0"/>
    <x v="0"/>
    <x v="0"/>
    <x v="0"/>
    <n v="75000"/>
    <n v="375000"/>
    <x v="0"/>
  </r>
  <r>
    <x v="1"/>
    <x v="1"/>
    <x v="0"/>
    <x v="0"/>
    <x v="0"/>
    <x v="1"/>
    <n v="75000"/>
    <n v="225000"/>
    <x v="0"/>
  </r>
  <r>
    <x v="2"/>
    <x v="2"/>
    <x v="1"/>
    <x v="1"/>
    <x v="1"/>
    <x v="2"/>
    <n v="250000"/>
    <n v="500000"/>
    <x v="0"/>
  </r>
  <r>
    <x v="3"/>
    <x v="2"/>
    <x v="2"/>
    <x v="2"/>
    <x v="2"/>
    <x v="3"/>
    <n v="45000"/>
    <n v="180000"/>
    <x v="1"/>
  </r>
  <r>
    <x v="4"/>
    <x v="3"/>
    <x v="3"/>
    <x v="0"/>
    <x v="3"/>
    <x v="4"/>
    <n v="150000"/>
    <n v="150000"/>
    <x v="1"/>
  </r>
  <r>
    <x v="5"/>
    <x v="4"/>
    <x v="0"/>
    <x v="0"/>
    <x v="0"/>
    <x v="5"/>
    <n v="75000"/>
    <n v="450000"/>
    <x v="0"/>
  </r>
  <r>
    <x v="6"/>
    <x v="5"/>
    <x v="1"/>
    <x v="1"/>
    <x v="4"/>
    <x v="2"/>
    <n v="120000"/>
    <n v="240000"/>
    <x v="0"/>
  </r>
  <r>
    <x v="7"/>
    <x v="6"/>
    <x v="2"/>
    <x v="2"/>
    <x v="5"/>
    <x v="1"/>
    <n v="55000"/>
    <n v="165000"/>
    <x v="1"/>
  </r>
  <r>
    <x v="8"/>
    <x v="7"/>
    <x v="3"/>
    <x v="3"/>
    <x v="6"/>
    <x v="2"/>
    <n v="250000"/>
    <n v="500000"/>
    <x v="0"/>
  </r>
  <r>
    <x v="9"/>
    <x v="8"/>
    <x v="0"/>
    <x v="3"/>
    <x v="6"/>
    <x v="4"/>
    <n v="250000"/>
    <n v="250000"/>
    <x v="0"/>
  </r>
  <r>
    <x v="10"/>
    <x v="9"/>
    <x v="1"/>
    <x v="0"/>
    <x v="0"/>
    <x v="3"/>
    <n v="75000"/>
    <n v="300000"/>
    <x v="0"/>
  </r>
  <r>
    <x v="11"/>
    <x v="10"/>
    <x v="2"/>
    <x v="1"/>
    <x v="7"/>
    <x v="0"/>
    <n v="85000"/>
    <n v="425000"/>
    <x v="0"/>
  </r>
  <r>
    <x v="12"/>
    <x v="11"/>
    <x v="3"/>
    <x v="2"/>
    <x v="2"/>
    <x v="2"/>
    <n v="45000"/>
    <n v="90000"/>
    <x v="1"/>
  </r>
  <r>
    <x v="13"/>
    <x v="11"/>
    <x v="0"/>
    <x v="0"/>
    <x v="0"/>
    <x v="1"/>
    <n v="75000"/>
    <n v="225000"/>
    <x v="0"/>
  </r>
  <r>
    <x v="14"/>
    <x v="12"/>
    <x v="1"/>
    <x v="1"/>
    <x v="8"/>
    <x v="4"/>
    <n v="150000"/>
    <n v="150000"/>
    <x v="1"/>
  </r>
  <r>
    <x v="15"/>
    <x v="13"/>
    <x v="2"/>
    <x v="2"/>
    <x v="5"/>
    <x v="3"/>
    <n v="55000"/>
    <n v="220000"/>
    <x v="0"/>
  </r>
  <r>
    <x v="16"/>
    <x v="14"/>
    <x v="3"/>
    <x v="3"/>
    <x v="6"/>
    <x v="1"/>
    <n v="250000"/>
    <n v="750000"/>
    <x v="0"/>
  </r>
  <r>
    <x v="17"/>
    <x v="15"/>
    <x v="0"/>
    <x v="0"/>
    <x v="3"/>
    <x v="2"/>
    <n v="150000"/>
    <n v="300000"/>
    <x v="0"/>
  </r>
  <r>
    <x v="18"/>
    <x v="16"/>
    <x v="1"/>
    <x v="1"/>
    <x v="1"/>
    <x v="1"/>
    <n v="250000"/>
    <n v="750000"/>
    <x v="0"/>
  </r>
  <r>
    <x v="19"/>
    <x v="17"/>
    <x v="2"/>
    <x v="2"/>
    <x v="2"/>
    <x v="0"/>
    <n v="45000"/>
    <n v="225000"/>
    <x v="0"/>
  </r>
  <r>
    <x v="20"/>
    <x v="18"/>
    <x v="3"/>
    <x v="0"/>
    <x v="0"/>
    <x v="2"/>
    <n v="75000"/>
    <n v="150000"/>
    <x v="1"/>
  </r>
  <r>
    <x v="21"/>
    <x v="19"/>
    <x v="0"/>
    <x v="1"/>
    <x v="7"/>
    <x v="3"/>
    <n v="85000"/>
    <n v="340000"/>
    <x v="0"/>
  </r>
  <r>
    <x v="22"/>
    <x v="20"/>
    <x v="1"/>
    <x v="2"/>
    <x v="5"/>
    <x v="2"/>
    <n v="55000"/>
    <n v="110000"/>
    <x v="1"/>
  </r>
  <r>
    <x v="23"/>
    <x v="20"/>
    <x v="2"/>
    <x v="3"/>
    <x v="6"/>
    <x v="4"/>
    <n v="250000"/>
    <n v="250000"/>
    <x v="0"/>
  </r>
  <r>
    <x v="24"/>
    <x v="21"/>
    <x v="3"/>
    <x v="0"/>
    <x v="0"/>
    <x v="1"/>
    <n v="75000"/>
    <n v="225000"/>
    <x v="0"/>
  </r>
  <r>
    <x v="25"/>
    <x v="22"/>
    <x v="0"/>
    <x v="1"/>
    <x v="8"/>
    <x v="2"/>
    <n v="150000"/>
    <n v="300000"/>
    <x v="0"/>
  </r>
  <r>
    <x v="26"/>
    <x v="23"/>
    <x v="1"/>
    <x v="2"/>
    <x v="2"/>
    <x v="3"/>
    <n v="45000"/>
    <n v="180000"/>
    <x v="1"/>
  </r>
  <r>
    <x v="27"/>
    <x v="24"/>
    <x v="2"/>
    <x v="0"/>
    <x v="3"/>
    <x v="4"/>
    <n v="150000"/>
    <n v="150000"/>
    <x v="1"/>
  </r>
  <r>
    <x v="28"/>
    <x v="25"/>
    <x v="3"/>
    <x v="3"/>
    <x v="6"/>
    <x v="2"/>
    <n v="250000"/>
    <n v="500000"/>
    <x v="0"/>
  </r>
  <r>
    <x v="29"/>
    <x v="26"/>
    <x v="0"/>
    <x v="1"/>
    <x v="4"/>
    <x v="1"/>
    <n v="120000"/>
    <n v="360000"/>
    <x v="0"/>
  </r>
  <r>
    <x v="30"/>
    <x v="27"/>
    <x v="1"/>
    <x v="0"/>
    <x v="0"/>
    <x v="0"/>
    <n v="75000"/>
    <n v="375000"/>
    <x v="0"/>
  </r>
  <r>
    <x v="31"/>
    <x v="28"/>
    <x v="2"/>
    <x v="2"/>
    <x v="5"/>
    <x v="1"/>
    <n v="55000"/>
    <n v="165000"/>
    <x v="1"/>
  </r>
  <r>
    <x v="32"/>
    <x v="28"/>
    <x v="3"/>
    <x v="1"/>
    <x v="7"/>
    <x v="2"/>
    <n v="85000"/>
    <n v="170000"/>
    <x v="1"/>
  </r>
  <r>
    <x v="33"/>
    <x v="29"/>
    <x v="0"/>
    <x v="3"/>
    <x v="6"/>
    <x v="3"/>
    <n v="250000"/>
    <n v="1000000"/>
    <x v="0"/>
  </r>
  <r>
    <x v="34"/>
    <x v="30"/>
    <x v="1"/>
    <x v="0"/>
    <x v="3"/>
    <x v="4"/>
    <n v="150000"/>
    <n v="150000"/>
    <x v="1"/>
  </r>
  <r>
    <x v="35"/>
    <x v="31"/>
    <x v="2"/>
    <x v="2"/>
    <x v="2"/>
    <x v="5"/>
    <n v="45000"/>
    <n v="270000"/>
    <x v="0"/>
  </r>
  <r>
    <x v="36"/>
    <x v="32"/>
    <x v="3"/>
    <x v="1"/>
    <x v="8"/>
    <x v="1"/>
    <n v="150000"/>
    <n v="450000"/>
    <x v="0"/>
  </r>
  <r>
    <x v="37"/>
    <x v="33"/>
    <x v="0"/>
    <x v="0"/>
    <x v="0"/>
    <x v="2"/>
    <n v="75000"/>
    <n v="150000"/>
    <x v="1"/>
  </r>
  <r>
    <x v="38"/>
    <x v="34"/>
    <x v="1"/>
    <x v="3"/>
    <x v="6"/>
    <x v="4"/>
    <n v="250000"/>
    <n v="250000"/>
    <x v="0"/>
  </r>
  <r>
    <x v="39"/>
    <x v="35"/>
    <x v="2"/>
    <x v="1"/>
    <x v="1"/>
    <x v="3"/>
    <n v="250000"/>
    <n v="1000000"/>
    <x v="0"/>
  </r>
  <r>
    <x v="40"/>
    <x v="36"/>
    <x v="3"/>
    <x v="2"/>
    <x v="5"/>
    <x v="2"/>
    <n v="55000"/>
    <n v="110000"/>
    <x v="1"/>
  </r>
  <r>
    <x v="41"/>
    <x v="36"/>
    <x v="0"/>
    <x v="0"/>
    <x v="0"/>
    <x v="1"/>
    <n v="75000"/>
    <n v="225000"/>
    <x v="0"/>
  </r>
  <r>
    <x v="42"/>
    <x v="37"/>
    <x v="1"/>
    <x v="1"/>
    <x v="7"/>
    <x v="0"/>
    <n v="85000"/>
    <n v="425000"/>
    <x v="0"/>
  </r>
  <r>
    <x v="43"/>
    <x v="38"/>
    <x v="2"/>
    <x v="0"/>
    <x v="3"/>
    <x v="2"/>
    <n v="150000"/>
    <n v="300000"/>
    <x v="0"/>
  </r>
  <r>
    <x v="44"/>
    <x v="39"/>
    <x v="3"/>
    <x v="3"/>
    <x v="6"/>
    <x v="1"/>
    <n v="250000"/>
    <n v="750000"/>
    <x v="0"/>
  </r>
  <r>
    <x v="45"/>
    <x v="40"/>
    <x v="0"/>
    <x v="2"/>
    <x v="2"/>
    <x v="3"/>
    <n v="45000"/>
    <n v="180000"/>
    <x v="1"/>
  </r>
  <r>
    <x v="46"/>
    <x v="41"/>
    <x v="1"/>
    <x v="1"/>
    <x v="4"/>
    <x v="4"/>
    <n v="120000"/>
    <n v="120000"/>
    <x v="1"/>
  </r>
  <r>
    <x v="47"/>
    <x v="42"/>
    <x v="2"/>
    <x v="0"/>
    <x v="0"/>
    <x v="2"/>
    <n v="75000"/>
    <n v="150000"/>
    <x v="1"/>
  </r>
  <r>
    <x v="48"/>
    <x v="43"/>
    <x v="3"/>
    <x v="1"/>
    <x v="8"/>
    <x v="2"/>
    <n v="150000"/>
    <n v="300000"/>
    <x v="0"/>
  </r>
  <r>
    <x v="49"/>
    <x v="44"/>
    <x v="0"/>
    <x v="2"/>
    <x v="5"/>
    <x v="1"/>
    <n v="55000"/>
    <n v="165000"/>
    <x v="1"/>
  </r>
  <r>
    <x v="50"/>
    <x v="45"/>
    <x v="1"/>
    <x v="3"/>
    <x v="6"/>
    <x v="2"/>
    <n v="250000"/>
    <n v="500000"/>
    <x v="0"/>
  </r>
  <r>
    <x v="51"/>
    <x v="45"/>
    <x v="2"/>
    <x v="1"/>
    <x v="7"/>
    <x v="3"/>
    <n v="85000"/>
    <n v="340000"/>
    <x v="0"/>
  </r>
  <r>
    <x v="52"/>
    <x v="46"/>
    <x v="3"/>
    <x v="0"/>
    <x v="3"/>
    <x v="4"/>
    <n v="150000"/>
    <n v="150000"/>
    <x v="1"/>
  </r>
  <r>
    <x v="53"/>
    <x v="47"/>
    <x v="0"/>
    <x v="2"/>
    <x v="2"/>
    <x v="0"/>
    <n v="45000"/>
    <n v="225000"/>
    <x v="0"/>
  </r>
  <r>
    <x v="54"/>
    <x v="48"/>
    <x v="1"/>
    <x v="1"/>
    <x v="1"/>
    <x v="2"/>
    <n v="250000"/>
    <n v="500000"/>
    <x v="0"/>
  </r>
  <r>
    <x v="55"/>
    <x v="49"/>
    <x v="2"/>
    <x v="0"/>
    <x v="0"/>
    <x v="1"/>
    <n v="75000"/>
    <n v="225000"/>
    <x v="0"/>
  </r>
  <r>
    <x v="56"/>
    <x v="50"/>
    <x v="3"/>
    <x v="3"/>
    <x v="6"/>
    <x v="3"/>
    <n v="250000"/>
    <n v="1000000"/>
    <x v="0"/>
  </r>
  <r>
    <x v="57"/>
    <x v="51"/>
    <x v="0"/>
    <x v="1"/>
    <x v="4"/>
    <x v="2"/>
    <n v="120000"/>
    <n v="240000"/>
    <x v="0"/>
  </r>
  <r>
    <x v="58"/>
    <x v="52"/>
    <x v="1"/>
    <x v="2"/>
    <x v="5"/>
    <x v="1"/>
    <n v="55000"/>
    <n v="165000"/>
    <x v="1"/>
  </r>
  <r>
    <x v="59"/>
    <x v="53"/>
    <x v="2"/>
    <x v="0"/>
    <x v="0"/>
    <x v="0"/>
    <n v="75000"/>
    <n v="375000"/>
    <x v="0"/>
  </r>
  <r>
    <x v="60"/>
    <x v="53"/>
    <x v="3"/>
    <x v="1"/>
    <x v="7"/>
    <x v="2"/>
    <n v="85000"/>
    <n v="170000"/>
    <x v="1"/>
  </r>
  <r>
    <x v="61"/>
    <x v="54"/>
    <x v="0"/>
    <x v="3"/>
    <x v="6"/>
    <x v="4"/>
    <n v="250000"/>
    <n v="250000"/>
    <x v="0"/>
  </r>
  <r>
    <x v="62"/>
    <x v="55"/>
    <x v="1"/>
    <x v="0"/>
    <x v="3"/>
    <x v="2"/>
    <n v="150000"/>
    <n v="300000"/>
    <x v="0"/>
  </r>
  <r>
    <x v="63"/>
    <x v="56"/>
    <x v="2"/>
    <x v="2"/>
    <x v="2"/>
    <x v="3"/>
    <n v="45000"/>
    <n v="180000"/>
    <x v="1"/>
  </r>
  <r>
    <x v="64"/>
    <x v="57"/>
    <x v="3"/>
    <x v="1"/>
    <x v="8"/>
    <x v="1"/>
    <n v="150000"/>
    <n v="450000"/>
    <x v="0"/>
  </r>
  <r>
    <x v="65"/>
    <x v="58"/>
    <x v="0"/>
    <x v="0"/>
    <x v="0"/>
    <x v="2"/>
    <n v="75000"/>
    <n v="150000"/>
    <x v="1"/>
  </r>
  <r>
    <x v="66"/>
    <x v="59"/>
    <x v="1"/>
    <x v="3"/>
    <x v="6"/>
    <x v="1"/>
    <n v="250000"/>
    <n v="750000"/>
    <x v="0"/>
  </r>
  <r>
    <x v="67"/>
    <x v="59"/>
    <x v="2"/>
    <x v="1"/>
    <x v="1"/>
    <x v="4"/>
    <n v="250000"/>
    <n v="250000"/>
    <x v="0"/>
  </r>
  <r>
    <x v="68"/>
    <x v="60"/>
    <x v="3"/>
    <x v="2"/>
    <x v="5"/>
    <x v="2"/>
    <n v="55000"/>
    <n v="110000"/>
    <x v="1"/>
  </r>
  <r>
    <x v="69"/>
    <x v="61"/>
    <x v="0"/>
    <x v="0"/>
    <x v="3"/>
    <x v="4"/>
    <n v="150000"/>
    <n v="150000"/>
    <x v="1"/>
  </r>
  <r>
    <x v="70"/>
    <x v="62"/>
    <x v="0"/>
    <x v="0"/>
    <x v="0"/>
    <x v="1"/>
    <n v="75000"/>
    <n v="225000"/>
    <x v="0"/>
  </r>
  <r>
    <x v="71"/>
    <x v="63"/>
    <x v="0"/>
    <x v="0"/>
    <x v="0"/>
    <x v="0"/>
    <n v="75000"/>
    <n v="375000"/>
    <x v="0"/>
  </r>
  <r>
    <x v="72"/>
    <x v="64"/>
    <x v="0"/>
    <x v="0"/>
    <x v="9"/>
    <x v="2"/>
    <n v="180000"/>
    <n v="360000"/>
    <x v="0"/>
  </r>
  <r>
    <x v="73"/>
    <x v="65"/>
    <x v="0"/>
    <x v="0"/>
    <x v="9"/>
    <x v="3"/>
    <n v="180000"/>
    <n v="720000"/>
    <x v="0"/>
  </r>
  <r>
    <x v="74"/>
    <x v="66"/>
    <x v="0"/>
    <x v="0"/>
    <x v="3"/>
    <x v="4"/>
    <n v="150000"/>
    <n v="150000"/>
    <x v="1"/>
  </r>
  <r>
    <x v="75"/>
    <x v="67"/>
    <x v="0"/>
    <x v="2"/>
    <x v="2"/>
    <x v="1"/>
    <n v="45000"/>
    <n v="135000"/>
    <x v="1"/>
  </r>
  <r>
    <x v="76"/>
    <x v="68"/>
    <x v="0"/>
    <x v="2"/>
    <x v="5"/>
    <x v="2"/>
    <n v="55000"/>
    <n v="110000"/>
    <x v="1"/>
  </r>
  <r>
    <x v="77"/>
    <x v="69"/>
    <x v="0"/>
    <x v="1"/>
    <x v="7"/>
    <x v="3"/>
    <n v="85000"/>
    <n v="340000"/>
    <x v="0"/>
  </r>
  <r>
    <x v="78"/>
    <x v="70"/>
    <x v="0"/>
    <x v="1"/>
    <x v="8"/>
    <x v="2"/>
    <n v="150000"/>
    <n v="300000"/>
    <x v="0"/>
  </r>
  <r>
    <x v="79"/>
    <x v="71"/>
    <x v="0"/>
    <x v="1"/>
    <x v="1"/>
    <x v="4"/>
    <n v="250000"/>
    <n v="250000"/>
    <x v="0"/>
  </r>
  <r>
    <x v="80"/>
    <x v="72"/>
    <x v="0"/>
    <x v="3"/>
    <x v="6"/>
    <x v="2"/>
    <n v="250000"/>
    <n v="500000"/>
    <x v="0"/>
  </r>
  <r>
    <x v="81"/>
    <x v="73"/>
    <x v="0"/>
    <x v="3"/>
    <x v="10"/>
    <x v="1"/>
    <n v="120000"/>
    <n v="360000"/>
    <x v="0"/>
  </r>
  <r>
    <x v="82"/>
    <x v="74"/>
    <x v="3"/>
    <x v="0"/>
    <x v="0"/>
    <x v="3"/>
    <n v="75000"/>
    <n v="300000"/>
    <x v="0"/>
  </r>
  <r>
    <x v="83"/>
    <x v="75"/>
    <x v="3"/>
    <x v="0"/>
    <x v="0"/>
    <x v="0"/>
    <n v="75000"/>
    <n v="375000"/>
    <x v="0"/>
  </r>
  <r>
    <x v="84"/>
    <x v="76"/>
    <x v="3"/>
    <x v="0"/>
    <x v="3"/>
    <x v="2"/>
    <n v="150000"/>
    <n v="300000"/>
    <x v="0"/>
  </r>
  <r>
    <x v="85"/>
    <x v="77"/>
    <x v="3"/>
    <x v="0"/>
    <x v="9"/>
    <x v="1"/>
    <n v="180000"/>
    <n v="540000"/>
    <x v="0"/>
  </r>
  <r>
    <x v="86"/>
    <x v="78"/>
    <x v="3"/>
    <x v="2"/>
    <x v="2"/>
    <x v="2"/>
    <n v="45000"/>
    <n v="90000"/>
    <x v="1"/>
  </r>
  <r>
    <x v="87"/>
    <x v="79"/>
    <x v="3"/>
    <x v="2"/>
    <x v="5"/>
    <x v="1"/>
    <n v="55000"/>
    <n v="165000"/>
    <x v="1"/>
  </r>
  <r>
    <x v="88"/>
    <x v="80"/>
    <x v="3"/>
    <x v="1"/>
    <x v="7"/>
    <x v="0"/>
    <n v="85000"/>
    <n v="425000"/>
    <x v="0"/>
  </r>
  <r>
    <x v="89"/>
    <x v="81"/>
    <x v="3"/>
    <x v="1"/>
    <x v="8"/>
    <x v="2"/>
    <n v="150000"/>
    <n v="300000"/>
    <x v="0"/>
  </r>
  <r>
    <x v="90"/>
    <x v="82"/>
    <x v="3"/>
    <x v="1"/>
    <x v="1"/>
    <x v="2"/>
    <n v="250000"/>
    <n v="500000"/>
    <x v="0"/>
  </r>
  <r>
    <x v="91"/>
    <x v="83"/>
    <x v="3"/>
    <x v="3"/>
    <x v="6"/>
    <x v="1"/>
    <n v="250000"/>
    <n v="750000"/>
    <x v="0"/>
  </r>
  <r>
    <x v="92"/>
    <x v="84"/>
    <x v="3"/>
    <x v="3"/>
    <x v="10"/>
    <x v="2"/>
    <n v="120000"/>
    <n v="240000"/>
    <x v="0"/>
  </r>
  <r>
    <x v="93"/>
    <x v="85"/>
    <x v="1"/>
    <x v="0"/>
    <x v="0"/>
    <x v="3"/>
    <n v="75000"/>
    <n v="300000"/>
    <x v="0"/>
  </r>
  <r>
    <x v="94"/>
    <x v="86"/>
    <x v="1"/>
    <x v="0"/>
    <x v="3"/>
    <x v="4"/>
    <n v="150000"/>
    <n v="150000"/>
    <x v="1"/>
  </r>
  <r>
    <x v="95"/>
    <x v="87"/>
    <x v="1"/>
    <x v="0"/>
    <x v="9"/>
    <x v="2"/>
    <n v="180000"/>
    <n v="360000"/>
    <x v="0"/>
  </r>
  <r>
    <x v="96"/>
    <x v="88"/>
    <x v="1"/>
    <x v="2"/>
    <x v="2"/>
    <x v="1"/>
    <n v="45000"/>
    <n v="135000"/>
    <x v="1"/>
  </r>
  <r>
    <x v="97"/>
    <x v="89"/>
    <x v="1"/>
    <x v="2"/>
    <x v="5"/>
    <x v="2"/>
    <n v="55000"/>
    <n v="110000"/>
    <x v="1"/>
  </r>
  <r>
    <x v="98"/>
    <x v="90"/>
    <x v="1"/>
    <x v="1"/>
    <x v="7"/>
    <x v="3"/>
    <n v="85000"/>
    <n v="340000"/>
    <x v="0"/>
  </r>
  <r>
    <x v="99"/>
    <x v="91"/>
    <x v="1"/>
    <x v="1"/>
    <x v="8"/>
    <x v="4"/>
    <n v="150000"/>
    <n v="150000"/>
    <x v="1"/>
  </r>
  <r>
    <x v="100"/>
    <x v="92"/>
    <x v="1"/>
    <x v="1"/>
    <x v="1"/>
    <x v="2"/>
    <n v="250000"/>
    <n v="500000"/>
    <x v="0"/>
  </r>
  <r>
    <x v="101"/>
    <x v="93"/>
    <x v="1"/>
    <x v="3"/>
    <x v="6"/>
    <x v="2"/>
    <n v="250000"/>
    <n v="500000"/>
    <x v="0"/>
  </r>
  <r>
    <x v="102"/>
    <x v="94"/>
    <x v="1"/>
    <x v="3"/>
    <x v="10"/>
    <x v="1"/>
    <n v="120000"/>
    <n v="360000"/>
    <x v="0"/>
  </r>
  <r>
    <x v="103"/>
    <x v="95"/>
    <x v="2"/>
    <x v="0"/>
    <x v="0"/>
    <x v="0"/>
    <n v="75000"/>
    <n v="375000"/>
    <x v="0"/>
  </r>
  <r>
    <x v="104"/>
    <x v="96"/>
    <x v="2"/>
    <x v="0"/>
    <x v="3"/>
    <x v="2"/>
    <n v="150000"/>
    <n v="300000"/>
    <x v="0"/>
  </r>
  <r>
    <x v="105"/>
    <x v="97"/>
    <x v="2"/>
    <x v="0"/>
    <x v="9"/>
    <x v="1"/>
    <n v="180000"/>
    <n v="540000"/>
    <x v="0"/>
  </r>
  <r>
    <x v="106"/>
    <x v="98"/>
    <x v="2"/>
    <x v="2"/>
    <x v="2"/>
    <x v="3"/>
    <n v="45000"/>
    <n v="180000"/>
    <x v="1"/>
  </r>
  <r>
    <x v="107"/>
    <x v="99"/>
    <x v="2"/>
    <x v="2"/>
    <x v="5"/>
    <x v="2"/>
    <n v="55000"/>
    <n v="110000"/>
    <x v="1"/>
  </r>
  <r>
    <x v="108"/>
    <x v="100"/>
    <x v="2"/>
    <x v="1"/>
    <x v="7"/>
    <x v="1"/>
    <n v="85000"/>
    <n v="255000"/>
    <x v="0"/>
  </r>
  <r>
    <x v="109"/>
    <x v="101"/>
    <x v="2"/>
    <x v="1"/>
    <x v="8"/>
    <x v="2"/>
    <n v="150000"/>
    <n v="300000"/>
    <x v="0"/>
  </r>
  <r>
    <x v="110"/>
    <x v="102"/>
    <x v="2"/>
    <x v="1"/>
    <x v="1"/>
    <x v="4"/>
    <n v="250000"/>
    <n v="250000"/>
    <x v="0"/>
  </r>
  <r>
    <x v="111"/>
    <x v="103"/>
    <x v="2"/>
    <x v="3"/>
    <x v="6"/>
    <x v="2"/>
    <n v="250000"/>
    <n v="500000"/>
    <x v="0"/>
  </r>
  <r>
    <x v="112"/>
    <x v="104"/>
    <x v="2"/>
    <x v="3"/>
    <x v="10"/>
    <x v="3"/>
    <n v="120000"/>
    <n v="480000"/>
    <x v="0"/>
  </r>
  <r>
    <x v="113"/>
    <x v="105"/>
    <x v="0"/>
    <x v="0"/>
    <x v="0"/>
    <x v="1"/>
    <n v="75000"/>
    <n v="225000"/>
    <x v="0"/>
  </r>
  <r>
    <x v="114"/>
    <x v="106"/>
    <x v="0"/>
    <x v="0"/>
    <x v="3"/>
    <x v="2"/>
    <n v="150000"/>
    <n v="300000"/>
    <x v="0"/>
  </r>
  <r>
    <x v="115"/>
    <x v="107"/>
    <x v="0"/>
    <x v="2"/>
    <x v="2"/>
    <x v="1"/>
    <n v="45000"/>
    <n v="135000"/>
    <x v="1"/>
  </r>
  <r>
    <x v="116"/>
    <x v="108"/>
    <x v="0"/>
    <x v="1"/>
    <x v="7"/>
    <x v="3"/>
    <n v="85000"/>
    <n v="340000"/>
    <x v="0"/>
  </r>
  <r>
    <x v="117"/>
    <x v="109"/>
    <x v="0"/>
    <x v="3"/>
    <x v="6"/>
    <x v="4"/>
    <n v="250000"/>
    <n v="250000"/>
    <x v="0"/>
  </r>
  <r>
    <x v="118"/>
    <x v="110"/>
    <x v="3"/>
    <x v="0"/>
    <x v="9"/>
    <x v="2"/>
    <n v="180000"/>
    <n v="360000"/>
    <x v="0"/>
  </r>
  <r>
    <x v="119"/>
    <x v="111"/>
    <x v="3"/>
    <x v="2"/>
    <x v="5"/>
    <x v="1"/>
    <n v="55000"/>
    <n v="165000"/>
    <x v="1"/>
  </r>
  <r>
    <x v="120"/>
    <x v="112"/>
    <x v="1"/>
    <x v="1"/>
    <x v="8"/>
    <x v="2"/>
    <n v="150000"/>
    <n v="300000"/>
    <x v="0"/>
  </r>
  <r>
    <x v="121"/>
    <x v="113"/>
    <x v="2"/>
    <x v="3"/>
    <x v="10"/>
    <x v="2"/>
    <n v="120000"/>
    <n v="240000"/>
    <x v="0"/>
  </r>
  <r>
    <x v="122"/>
    <x v="114"/>
    <x v="0"/>
    <x v="0"/>
    <x v="0"/>
    <x v="0"/>
    <n v="75000"/>
    <n v="375000"/>
    <x v="0"/>
  </r>
  <r>
    <x v="123"/>
    <x v="115"/>
    <x v="3"/>
    <x v="1"/>
    <x v="1"/>
    <x v="2"/>
    <n v="250000"/>
    <n v="500000"/>
    <x v="0"/>
  </r>
  <r>
    <x v="124"/>
    <x v="116"/>
    <x v="1"/>
    <x v="0"/>
    <x v="3"/>
    <x v="4"/>
    <n v="150000"/>
    <n v="150000"/>
    <x v="1"/>
  </r>
  <r>
    <x v="125"/>
    <x v="117"/>
    <x v="2"/>
    <x v="2"/>
    <x v="2"/>
    <x v="3"/>
    <n v="45000"/>
    <n v="180000"/>
    <x v="1"/>
  </r>
  <r>
    <x v="126"/>
    <x v="118"/>
    <x v="0"/>
    <x v="1"/>
    <x v="7"/>
    <x v="1"/>
    <n v="85000"/>
    <n v="255000"/>
    <x v="0"/>
  </r>
  <r>
    <x v="127"/>
    <x v="119"/>
    <x v="3"/>
    <x v="3"/>
    <x v="6"/>
    <x v="2"/>
    <n v="250000"/>
    <n v="500000"/>
    <x v="0"/>
  </r>
  <r>
    <x v="128"/>
    <x v="120"/>
    <x v="1"/>
    <x v="0"/>
    <x v="9"/>
    <x v="1"/>
    <n v="180000"/>
    <n v="540000"/>
    <x v="0"/>
  </r>
  <r>
    <x v="129"/>
    <x v="121"/>
    <x v="2"/>
    <x v="1"/>
    <x v="8"/>
    <x v="4"/>
    <n v="150000"/>
    <n v="150000"/>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3F7C708-979A-44C5-AEB4-29B5A146CD76}" name="PivotTable6" cacheId="0" applyNumberFormats="0" applyBorderFormats="0" applyFontFormats="0" applyPatternFormats="0" applyAlignmentFormats="0" applyWidthHeightFormats="1" dataCaption="Values" updatedVersion="7" minRefreshableVersion="5" useAutoFormatting="1" itemPrintTitles="1" createdVersion="7" indent="0" outline="1" outlineData="1" multipleFieldFilters="0" chartFormat="8">
  <location ref="C24:D31" firstHeaderRow="1" firstDataRow="1" firstDataCol="1"/>
  <pivotFields count="13">
    <pivotField showAll="0"/>
    <pivotField axis="axisRow" numFmtId="14" showAll="0">
      <items count="15">
        <item x="0"/>
        <item x="1"/>
        <item x="2"/>
        <item x="3"/>
        <item x="4"/>
        <item x="5"/>
        <item x="6"/>
        <item x="7"/>
        <item x="8"/>
        <item x="9"/>
        <item x="10"/>
        <item x="11"/>
        <item x="12"/>
        <item x="13"/>
        <item t="default"/>
      </items>
    </pivotField>
    <pivotField showAll="0"/>
    <pivotField showAll="0"/>
    <pivotField showAll="0"/>
    <pivotField showAll="0"/>
    <pivotField numFmtId="165" showAll="0"/>
    <pivotField dataField="1" numFmtId="165" showAll="0"/>
    <pivotField showAll="0"/>
    <pivotField axis="axisRow" showAll="0">
      <items count="4">
        <item x="0"/>
        <item x="1"/>
        <item x="2"/>
        <item t="default"/>
      </items>
    </pivotField>
    <pivotField dragToRow="0" dragToCol="0" dragToPage="0" showAll="0" defaultSubtotal="0"/>
    <pivotField dragToRow="0" dragToCol="0" dragToPage="0" showAll="0" defaultSubtotal="0"/>
    <pivotField dragToRow="0" dragToCol="0" dragToPage="0" showAll="0" defaultSubtotal="0"/>
  </pivotFields>
  <rowFields count="2">
    <field x="9"/>
    <field x="1"/>
  </rowFields>
  <rowItems count="7">
    <i>
      <x v="1"/>
    </i>
    <i r="1">
      <x v="1"/>
    </i>
    <i r="1">
      <x v="2"/>
    </i>
    <i r="1">
      <x v="3"/>
    </i>
    <i r="1">
      <x v="4"/>
    </i>
    <i r="1">
      <x v="5"/>
    </i>
    <i t="grand">
      <x/>
    </i>
  </rowItems>
  <colItems count="1">
    <i/>
  </colItems>
  <dataFields count="1">
    <dataField name="Sum of Total_Sales" fld="7" baseField="9" baseItem="1" numFmtId="165"/>
  </dataFields>
  <formats count="3">
    <format dxfId="4">
      <pivotArea outline="0" collapsedLevelsAreSubtotals="1" fieldPosition="0"/>
    </format>
    <format dxfId="3">
      <pivotArea dataOnly="0" labelOnly="1" outline="0" axis="axisValues" fieldPosition="0"/>
    </format>
    <format dxfId="2">
      <pivotArea outline="0" fieldPosition="0">
        <references count="1">
          <reference field="4294967294" count="1">
            <x v="0"/>
          </reference>
        </references>
      </pivotArea>
    </format>
  </formats>
  <chartFormats count="2">
    <chartFormat chart="1" format="1" series="1">
      <pivotArea type="data" outline="0" fieldPosition="0">
        <references count="1">
          <reference field="4294967294" count="1" selected="0">
            <x v="0"/>
          </reference>
        </references>
      </pivotArea>
    </chartFormat>
    <chartFormat chart="1" format="3">
      <pivotArea type="data" outline="0" fieldPosition="0">
        <references count="3">
          <reference field="4294967294" count="1" selected="0">
            <x v="0"/>
          </reference>
          <reference field="1" count="1" selected="0">
            <x v="5"/>
          </reference>
          <reference field="9" count="1" selected="0">
            <x v="1"/>
          </reference>
        </references>
      </pivotArea>
    </chartFormat>
  </chartFormats>
  <pivotTableStyleInfo name="PivotStyleLight16" showRowHeaders="1" showColHeaders="1" showRowStripes="0" showColStripes="0" showLastColumn="1"/>
  <filters count="1">
    <filter fld="1" type="dateBetween" evalOrder="-1" id="54" name="Order_Date">
      <autoFilter ref="A1">
        <filterColumn colId="0">
          <customFilters and="1">
            <customFilter operator="greaterThanOrEqual" val="45292"/>
            <customFilter operator="lessThanOrEqual" val="45443"/>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9BC39AD-2B0C-407F-A61F-84A1A27ED2E3}" name="PivotTable11" cacheId="0" dataPosition="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
  <location ref="P59:R71" firstHeaderRow="0" firstDataRow="1" firstDataCol="1"/>
  <pivotFields count="13">
    <pivotField showAll="0"/>
    <pivotField numFmtId="14" showAll="0"/>
    <pivotField showAll="0"/>
    <pivotField showAll="0"/>
    <pivotField axis="axisRow" showAll="0" sortType="descending">
      <items count="12">
        <item x="5"/>
        <item x="2"/>
        <item x="1"/>
        <item x="3"/>
        <item x="8"/>
        <item x="4"/>
        <item x="7"/>
        <item x="6"/>
        <item x="0"/>
        <item x="9"/>
        <item x="10"/>
        <item t="default"/>
      </items>
      <autoSortScope>
        <pivotArea dataOnly="0" outline="0" fieldPosition="0">
          <references count="1">
            <reference field="4294967294" count="1" selected="0">
              <x v="1"/>
            </reference>
          </references>
        </pivotArea>
      </autoSortScope>
    </pivotField>
    <pivotField dataField="1" showAll="0"/>
    <pivotField numFmtId="164" showAll="0"/>
    <pivotField numFmtId="164" showAll="0"/>
    <pivotField showAll="0"/>
    <pivotField showAll="0" defaultSubtotal="0"/>
    <pivotField dragToRow="0" dragToCol="0" dragToPage="0" showAll="0" defaultSubtotal="0"/>
    <pivotField dragToRow="0" dragToCol="0" dragToPage="0" showAll="0" defaultSubtotal="0"/>
    <pivotField dragToRow="0" dragToCol="0" dragToPage="0" showAll="0" defaultSubtotal="0"/>
  </pivotFields>
  <rowFields count="1">
    <field x="4"/>
  </rowFields>
  <rowItems count="12">
    <i>
      <x v="8"/>
    </i>
    <i>
      <x v="1"/>
    </i>
    <i>
      <x v="6"/>
    </i>
    <i>
      <x v="7"/>
    </i>
    <i>
      <x/>
    </i>
    <i>
      <x v="4"/>
    </i>
    <i>
      <x v="2"/>
    </i>
    <i>
      <x v="3"/>
    </i>
    <i>
      <x v="9"/>
    </i>
    <i>
      <x v="10"/>
    </i>
    <i>
      <x v="5"/>
    </i>
    <i t="grand">
      <x/>
    </i>
  </rowItems>
  <colFields count="1">
    <field x="-2"/>
  </colFields>
  <colItems count="2">
    <i>
      <x/>
    </i>
    <i i="1">
      <x v="1"/>
    </i>
  </colItems>
  <dataFields count="2">
    <dataField name="Sum of Quantity" fld="5" baseField="4" baseItem="0"/>
    <dataField name="Sum of Quantity2" fld="5" baseField="4" baseItem="0">
      <extLst>
        <ext xmlns:x14="http://schemas.microsoft.com/office/spreadsheetml/2009/9/main" uri="{E15A36E0-9728-4e99-A89B-3F7291B0FE68}">
          <x14:dataField pivotShowAs="rankDescending"/>
        </ext>
      </extLst>
    </dataField>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5ECD078-FC24-4BEF-A7CA-EC220A20699D}" name="PivotTable5"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8">
  <location ref="C4:D9" firstHeaderRow="1" firstDataRow="1" firstDataCol="1"/>
  <pivotFields count="13">
    <pivotField showAll="0"/>
    <pivotField numFmtId="14" showAll="0">
      <items count="15">
        <item x="0"/>
        <item x="1"/>
        <item x="2"/>
        <item x="3"/>
        <item x="4"/>
        <item x="5"/>
        <item x="6"/>
        <item x="7"/>
        <item x="8"/>
        <item x="9"/>
        <item x="10"/>
        <item x="11"/>
        <item x="12"/>
        <item x="13"/>
        <item t="default"/>
      </items>
    </pivotField>
    <pivotField showAll="0"/>
    <pivotField axis="axisRow" showAll="0">
      <items count="5">
        <item x="2"/>
        <item x="0"/>
        <item x="1"/>
        <item x="3"/>
        <item t="default"/>
      </items>
    </pivotField>
    <pivotField showAll="0"/>
    <pivotField showAll="0"/>
    <pivotField numFmtId="165" showAll="0"/>
    <pivotField dataField="1" numFmtId="165" showAll="0"/>
    <pivotField showAll="0"/>
    <pivotField showAll="0">
      <items count="4">
        <item x="0"/>
        <item x="1"/>
        <item x="2"/>
        <item t="default"/>
      </items>
    </pivotField>
    <pivotField dragToRow="0" dragToCol="0" dragToPage="0" showAll="0" defaultSubtotal="0"/>
    <pivotField dragToRow="0" dragToCol="0" dragToPage="0" showAll="0" defaultSubtotal="0"/>
    <pivotField dragToRow="0" dragToCol="0" dragToPage="0" showAll="0" defaultSubtotal="0"/>
  </pivotFields>
  <rowFields count="1">
    <field x="3"/>
  </rowFields>
  <rowItems count="5">
    <i>
      <x/>
    </i>
    <i>
      <x v="1"/>
    </i>
    <i>
      <x v="2"/>
    </i>
    <i>
      <x v="3"/>
    </i>
    <i t="grand">
      <x/>
    </i>
  </rowItems>
  <colItems count="1">
    <i/>
  </colItems>
  <dataFields count="1">
    <dataField name="Sum of Total_Sales" fld="7" baseField="3" baseItem="0" numFmtId="165"/>
  </dataFields>
  <chartFormats count="1">
    <chartFormat chart="5"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EC11DC6-32A4-4BD5-980E-0AF16C469796}" name="PivotTable8" cacheId="0" applyNumberFormats="0" applyBorderFormats="0" applyFontFormats="0" applyPatternFormats="0" applyAlignmentFormats="0" applyWidthHeightFormats="1" dataCaption="Values" updatedVersion="7" minRefreshableVersion="5" useAutoFormatting="1" itemPrintTitles="1" createdVersion="7" indent="0" outline="1" outlineData="1" multipleFieldFilters="0" chartFormat="6">
  <location ref="C74:D77" firstHeaderRow="1" firstDataRow="1" firstDataCol="1" rowPageCount="2" colPageCount="1"/>
  <pivotFields count="13">
    <pivotField showAll="0"/>
    <pivotField numFmtId="14" showAll="0">
      <items count="15">
        <item x="0"/>
        <item x="1"/>
        <item x="2"/>
        <item x="3"/>
        <item x="4"/>
        <item x="5"/>
        <item x="6"/>
        <item x="7"/>
        <item x="8"/>
        <item x="9"/>
        <item x="10"/>
        <item x="11"/>
        <item x="12"/>
        <item x="13"/>
        <item t="default"/>
      </items>
    </pivotField>
    <pivotField axis="axisPage" multipleItemSelectionAllowed="1" showAll="0">
      <items count="5">
        <item x="0"/>
        <item x="1"/>
        <item x="2"/>
        <item x="3"/>
        <item t="default"/>
      </items>
    </pivotField>
    <pivotField axis="axisPage" multipleItemSelectionAllowed="1" showAll="0">
      <items count="5">
        <item x="2"/>
        <item x="0"/>
        <item x="1"/>
        <item x="3"/>
        <item t="default"/>
      </items>
    </pivotField>
    <pivotField showAll="0"/>
    <pivotField showAll="0"/>
    <pivotField numFmtId="165" showAll="0"/>
    <pivotField dataField="1" numFmtId="165" showAll="0"/>
    <pivotField axis="axisRow" showAll="0">
      <items count="3">
        <item x="0"/>
        <item x="1"/>
        <item t="default"/>
      </items>
    </pivotField>
    <pivotField showAll="0" defaultSubtotal="0"/>
    <pivotField dragToRow="0" dragToCol="0" dragToPage="0" showAll="0" defaultSubtotal="0"/>
    <pivotField dragToRow="0" dragToCol="0" dragToPage="0" showAll="0" defaultSubtotal="0"/>
    <pivotField dragToRow="0" dragToCol="0" dragToPage="0" showAll="0" defaultSubtotal="0"/>
  </pivotFields>
  <rowFields count="1">
    <field x="8"/>
  </rowFields>
  <rowItems count="3">
    <i>
      <x/>
    </i>
    <i>
      <x v="1"/>
    </i>
    <i t="grand">
      <x/>
    </i>
  </rowItems>
  <colItems count="1">
    <i/>
  </colItems>
  <pageFields count="2">
    <pageField fld="2" hier="-1"/>
    <pageField fld="3" hier="-1"/>
  </pageFields>
  <dataFields count="1">
    <dataField name="Sum of Total_Sales" fld="7" baseField="0" baseItem="0"/>
  </dataFields>
  <chartFormats count="3">
    <chartFormat chart="1" format="6" series="1">
      <pivotArea type="data" outline="0" fieldPosition="0">
        <references count="1">
          <reference field="4294967294" count="1" selected="0">
            <x v="0"/>
          </reference>
        </references>
      </pivotArea>
    </chartFormat>
    <chartFormat chart="1" format="7">
      <pivotArea type="data" outline="0" fieldPosition="0">
        <references count="2">
          <reference field="4294967294" count="1" selected="0">
            <x v="0"/>
          </reference>
          <reference field="8" count="1" selected="0">
            <x v="0"/>
          </reference>
        </references>
      </pivotArea>
    </chartFormat>
    <chartFormat chart="1" format="8">
      <pivotArea type="data" outline="0" fieldPosition="0">
        <references count="2">
          <reference field="4294967294" count="1" selected="0">
            <x v="0"/>
          </reference>
          <reference field="8"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7164D3ED-C5AF-4D98-AC01-C655778145F2}" name="PivotTable10"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6">
  <location ref="P37:Q42" firstHeaderRow="1" firstDataRow="1" firstDataCol="1"/>
  <pivotFields count="13">
    <pivotField showAll="0"/>
    <pivotField numFmtId="14" showAll="0"/>
    <pivotField axis="axisRow" showAll="0" sortType="descending">
      <items count="5">
        <item x="0"/>
        <item x="1"/>
        <item x="2"/>
        <item x="3"/>
        <item t="default"/>
      </items>
      <autoSortScope>
        <pivotArea dataOnly="0" outline="0" fieldPosition="0">
          <references count="1">
            <reference field="4294967294" count="1" selected="0">
              <x v="0"/>
            </reference>
          </references>
        </pivotArea>
      </autoSortScope>
    </pivotField>
    <pivotField showAll="0"/>
    <pivotField showAll="0"/>
    <pivotField showAll="0"/>
    <pivotField numFmtId="164" showAll="0"/>
    <pivotField dataField="1" numFmtId="164" showAll="0"/>
    <pivotField showAll="0"/>
    <pivotField showAll="0" defaultSubtotal="0"/>
    <pivotField dragToRow="0" dragToCol="0" dragToPage="0" showAll="0" defaultSubtotal="0"/>
    <pivotField dragToRow="0" dragToCol="0" dragToPage="0" showAll="0" defaultSubtotal="0"/>
    <pivotField dragToRow="0" dragToCol="0" dragToPage="0" showAll="0" defaultSubtotal="0"/>
  </pivotFields>
  <rowFields count="1">
    <field x="2"/>
  </rowFields>
  <rowItems count="5">
    <i>
      <x v="3"/>
    </i>
    <i>
      <x/>
    </i>
    <i>
      <x v="1"/>
    </i>
    <i>
      <x v="2"/>
    </i>
    <i t="grand">
      <x/>
    </i>
  </rowItems>
  <colItems count="1">
    <i/>
  </colItems>
  <dataFields count="1">
    <dataField name="Sum of Total_Sales" fld="7" showDataAs="percentOfTotal" baseField="2" baseItem="0" numFmtId="10"/>
  </dataFields>
  <chartFormats count="5">
    <chartFormat chart="1" format="2" series="1">
      <pivotArea type="data" outline="0" fieldPosition="0">
        <references count="1">
          <reference field="4294967294" count="1" selected="0">
            <x v="0"/>
          </reference>
        </references>
      </pivotArea>
    </chartFormat>
    <chartFormat chart="1" format="3">
      <pivotArea type="data" outline="0" fieldPosition="0">
        <references count="2">
          <reference field="4294967294" count="1" selected="0">
            <x v="0"/>
          </reference>
          <reference field="2" count="1" selected="0">
            <x v="1"/>
          </reference>
        </references>
      </pivotArea>
    </chartFormat>
    <chartFormat chart="1" format="4">
      <pivotArea type="data" outline="0" fieldPosition="0">
        <references count="2">
          <reference field="4294967294" count="1" selected="0">
            <x v="0"/>
          </reference>
          <reference field="2" count="1" selected="0">
            <x v="0"/>
          </reference>
        </references>
      </pivotArea>
    </chartFormat>
    <chartFormat chart="1" format="5">
      <pivotArea type="data" outline="0" fieldPosition="0">
        <references count="2">
          <reference field="4294967294" count="1" selected="0">
            <x v="0"/>
          </reference>
          <reference field="2" count="1" selected="0">
            <x v="3"/>
          </reference>
        </references>
      </pivotArea>
    </chartFormat>
    <chartFormat chart="1" format="6">
      <pivotArea type="data" outline="0" fieldPosition="0">
        <references count="2">
          <reference field="4294967294" count="1" selected="0">
            <x v="0"/>
          </reference>
          <reference field="2"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B07F0C8B-0A87-4E8A-8753-DE4377B8AC46}" name="PivotTable9" cacheId="0" applyNumberFormats="0" applyBorderFormats="0" applyFontFormats="0" applyPatternFormats="0" applyAlignmentFormats="0" applyWidthHeightFormats="1" dataCaption="Values" updatedVersion="7" minRefreshableVersion="3" useAutoFormatting="1" itemPrintTitles="1" createdVersion="7" indent="0" compact="0" outline="1" outlineData="1" compactData="0" multipleFieldFilters="0" chartFormat="8">
  <location ref="P5:T12" firstHeaderRow="0" firstDataRow="1" firstDataCol="2"/>
  <pivotFields count="13">
    <pivotField compact="0" showAll="0"/>
    <pivotField axis="axisRow" compact="0" numFmtId="14" showAll="0">
      <items count="15">
        <item x="0"/>
        <item x="1"/>
        <item x="2"/>
        <item x="3"/>
        <item x="4"/>
        <item x="5"/>
        <item x="6"/>
        <item x="7"/>
        <item x="8"/>
        <item x="9"/>
        <item x="10"/>
        <item x="11"/>
        <item x="12"/>
        <item x="13"/>
        <item t="default"/>
      </items>
    </pivotField>
    <pivotField compact="0" multipleItemSelectionAllowed="1" showAll="0"/>
    <pivotField compact="0" showAll="0"/>
    <pivotField compact="0" showAll="0"/>
    <pivotField dataField="1" compact="0" showAll="0"/>
    <pivotField dataField="1" compact="0" numFmtId="164" showAll="0"/>
    <pivotField dataField="1" compact="0" numFmtId="164" showAll="0"/>
    <pivotField compact="0" showAll="0"/>
    <pivotField axis="axisRow" compact="0" showAll="0" defaultSubtotal="0">
      <items count="3">
        <item h="1" sd="0" x="0"/>
        <item x="1"/>
        <item h="1" sd="0" x="2"/>
      </items>
    </pivotField>
    <pivotField compact="0" dragToRow="0" dragToCol="0" dragToPage="0" showAll="0" defaultSubtotal="0"/>
    <pivotField compact="0" dragToRow="0" dragToCol="0" dragToPage="0" showAll="0" defaultSubtotal="0"/>
    <pivotField compact="0" dragToRow="0" dragToCol="0" dragToPage="0" showAll="0" defaultSubtotal="0"/>
  </pivotFields>
  <rowFields count="2">
    <field x="9"/>
    <field x="1"/>
  </rowFields>
  <rowItems count="7">
    <i>
      <x v="1"/>
    </i>
    <i r="1">
      <x v="1"/>
    </i>
    <i r="1">
      <x v="2"/>
    </i>
    <i r="1">
      <x v="3"/>
    </i>
    <i r="1">
      <x v="4"/>
    </i>
    <i r="1">
      <x v="5"/>
    </i>
    <i t="grand">
      <x/>
    </i>
  </rowItems>
  <colFields count="1">
    <field x="-2"/>
  </colFields>
  <colItems count="3">
    <i>
      <x/>
    </i>
    <i i="1">
      <x v="1"/>
    </i>
    <i i="2">
      <x v="2"/>
    </i>
  </colItems>
  <dataFields count="3">
    <dataField name="Sum of Quantity" fld="5" baseField="4" baseItem="0"/>
    <dataField name="Average of Unit_Price" fld="6" subtotal="average" baseField="3" baseItem="0"/>
    <dataField name="Sum of Total_Sales" fld="7" baseField="0" baseItem="0"/>
  </dataFields>
  <chartFormats count="3">
    <chartFormat chart="3" format="0" series="1">
      <pivotArea type="data" outline="0" fieldPosition="0">
        <references count="1">
          <reference field="4294967294" count="1" selected="0">
            <x v="0"/>
          </reference>
        </references>
      </pivotArea>
    </chartFormat>
    <chartFormat chart="3" format="1" series="1">
      <pivotArea type="data" outline="0" fieldPosition="0">
        <references count="1">
          <reference field="4294967294" count="1" selected="0">
            <x v="1"/>
          </reference>
        </references>
      </pivotArea>
    </chartFormat>
    <chartFormat chart="3" format="2"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6B0C0052-2FA3-4689-B933-2561172DA10F}" name="PivotTable2"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P79:R121" firstHeaderRow="0" firstDataRow="1" firstDataCol="1"/>
  <pivotFields count="13">
    <pivotField axis="axisRow" showAll="0">
      <items count="13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t="default"/>
      </items>
    </pivotField>
    <pivotField numFmtId="14" showAll="0">
      <items count="15">
        <item x="0"/>
        <item x="1"/>
        <item x="2"/>
        <item x="3"/>
        <item x="4"/>
        <item x="5"/>
        <item x="6"/>
        <item x="7"/>
        <item x="8"/>
        <item x="9"/>
        <item x="10"/>
        <item x="11"/>
        <item x="12"/>
        <item x="13"/>
        <item t="default"/>
      </items>
    </pivotField>
    <pivotField showAll="0"/>
    <pivotField showAll="0"/>
    <pivotField showAll="0"/>
    <pivotField dataField="1" showAll="0"/>
    <pivotField numFmtId="164" showAll="0"/>
    <pivotField dataField="1" showAll="0"/>
    <pivotField multipleItemSelectionAllowed="1" showAll="0">
      <items count="3">
        <item h="1" x="0"/>
        <item x="1"/>
        <item t="default"/>
      </items>
    </pivotField>
    <pivotField showAll="0" defaultSubtotal="0"/>
    <pivotField dragToRow="0" dragToCol="0" dragToPage="0" showAll="0" defaultSubtotal="0"/>
    <pivotField dragToRow="0" dragToCol="0" dragToPage="0" showAll="0" defaultSubtotal="0"/>
    <pivotField dragToRow="0" dragToCol="0" dragToPage="0" showAll="0" defaultSubtotal="0"/>
  </pivotFields>
  <rowFields count="1">
    <field x="0"/>
  </rowFields>
  <rowItems count="42">
    <i>
      <x v="3"/>
    </i>
    <i>
      <x v="4"/>
    </i>
    <i>
      <x v="7"/>
    </i>
    <i>
      <x v="12"/>
    </i>
    <i>
      <x v="14"/>
    </i>
    <i>
      <x v="20"/>
    </i>
    <i>
      <x v="22"/>
    </i>
    <i>
      <x v="26"/>
    </i>
    <i>
      <x v="27"/>
    </i>
    <i>
      <x v="31"/>
    </i>
    <i>
      <x v="32"/>
    </i>
    <i>
      <x v="34"/>
    </i>
    <i>
      <x v="37"/>
    </i>
    <i>
      <x v="40"/>
    </i>
    <i>
      <x v="45"/>
    </i>
    <i>
      <x v="46"/>
    </i>
    <i>
      <x v="47"/>
    </i>
    <i>
      <x v="49"/>
    </i>
    <i>
      <x v="52"/>
    </i>
    <i>
      <x v="58"/>
    </i>
    <i>
      <x v="60"/>
    </i>
    <i>
      <x v="63"/>
    </i>
    <i>
      <x v="65"/>
    </i>
    <i>
      <x v="68"/>
    </i>
    <i>
      <x v="69"/>
    </i>
    <i>
      <x v="74"/>
    </i>
    <i>
      <x v="75"/>
    </i>
    <i>
      <x v="76"/>
    </i>
    <i>
      <x v="86"/>
    </i>
    <i>
      <x v="87"/>
    </i>
    <i>
      <x v="94"/>
    </i>
    <i>
      <x v="96"/>
    </i>
    <i>
      <x v="97"/>
    </i>
    <i>
      <x v="99"/>
    </i>
    <i>
      <x v="106"/>
    </i>
    <i>
      <x v="107"/>
    </i>
    <i>
      <x v="115"/>
    </i>
    <i>
      <x v="119"/>
    </i>
    <i>
      <x v="124"/>
    </i>
    <i>
      <x v="125"/>
    </i>
    <i>
      <x v="129"/>
    </i>
    <i t="grand">
      <x/>
    </i>
  </rowItems>
  <colFields count="1">
    <field x="-2"/>
  </colFields>
  <colItems count="2">
    <i>
      <x/>
    </i>
    <i i="1">
      <x v="1"/>
    </i>
  </colItems>
  <dataFields count="2">
    <dataField name="Average of Total_Sales" fld="7" subtotal="average" baseField="0" baseItem="0"/>
    <dataField name="Average of Quantity" fld="5" subtotal="average"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2B48B360-3804-4278-8C69-2149976686A3}" name="PivotTable3"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D14:AG19" firstHeaderRow="0" firstDataRow="1" firstDataCol="1"/>
  <pivotFields count="13">
    <pivotField showAll="0"/>
    <pivotField numFmtId="14" showAll="0"/>
    <pivotField showAll="0"/>
    <pivotField axis="axisRow" showAll="0" sortType="descending">
      <items count="5">
        <item x="2"/>
        <item x="0"/>
        <item x="1"/>
        <item x="3"/>
        <item t="default"/>
      </items>
      <autoSortScope>
        <pivotArea dataOnly="0" outline="0" fieldPosition="0">
          <references count="1">
            <reference field="4294967294" count="1" selected="0">
              <x v="0"/>
            </reference>
          </references>
        </pivotArea>
      </autoSortScope>
    </pivotField>
    <pivotField showAll="0"/>
    <pivotField dataField="1" showAll="0">
      <items count="7">
        <item x="4"/>
        <item x="2"/>
        <item x="1"/>
        <item x="3"/>
        <item x="0"/>
        <item x="5"/>
        <item t="default"/>
      </items>
    </pivotField>
    <pivotField dataField="1" numFmtId="164" showAll="0"/>
    <pivotField dataField="1" showAll="0"/>
    <pivotField showAll="0"/>
    <pivotField showAll="0" defaultSubtotal="0"/>
    <pivotField dragToRow="0" dragToCol="0" dragToPage="0" showAll="0" defaultSubtotal="0"/>
    <pivotField dragToRow="0" dragToCol="0" dragToPage="0" showAll="0" defaultSubtotal="0"/>
    <pivotField dragToRow="0" dragToCol="0" dragToPage="0" showAll="0" defaultSubtotal="0"/>
  </pivotFields>
  <rowFields count="1">
    <field x="3"/>
  </rowFields>
  <rowItems count="5">
    <i>
      <x v="1"/>
    </i>
    <i>
      <x v="2"/>
    </i>
    <i>
      <x/>
    </i>
    <i>
      <x v="3"/>
    </i>
    <i t="grand">
      <x/>
    </i>
  </rowItems>
  <colFields count="1">
    <field x="-2"/>
  </colFields>
  <colItems count="3">
    <i>
      <x/>
    </i>
    <i i="1">
      <x v="1"/>
    </i>
    <i i="2">
      <x v="2"/>
    </i>
  </colItems>
  <dataFields count="3">
    <dataField name="Sum of Quantity" fld="5" baseField="0" baseItem="0"/>
    <dataField name="Average of Unit_Price" fld="6" subtotal="average" baseField="3" baseItem="1"/>
    <dataField name="Sum of Total_Sales" fld="7" baseField="0" baseItem="0"/>
  </dataFields>
  <formats count="6">
    <format dxfId="10">
      <pivotArea type="all" dataOnly="0" outline="0" fieldPosition="0"/>
    </format>
    <format dxfId="9">
      <pivotArea outline="0" collapsedLevelsAreSubtotals="1" fieldPosition="0"/>
    </format>
    <format dxfId="8">
      <pivotArea field="3" type="button" dataOnly="0" labelOnly="1" outline="0" axis="axisRow" fieldPosition="0"/>
    </format>
    <format dxfId="7">
      <pivotArea dataOnly="0" labelOnly="1" fieldPosition="0">
        <references count="1">
          <reference field="3" count="0"/>
        </references>
      </pivotArea>
    </format>
    <format dxfId="6">
      <pivotArea dataOnly="0" labelOnly="1" grandRow="1" outline="0" fieldPosition="0"/>
    </format>
    <format dxfId="5">
      <pivotArea dataOnly="0" labelOnly="1" outline="0" fieldPosition="0">
        <references count="1">
          <reference field="4294967294" count="2">
            <x v="0"/>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2404C849-91BA-48DD-A1E5-D995059C1AA9}" name="PivotTable1" cacheId="0" applyNumberFormats="0" applyBorderFormats="0" applyFontFormats="0" applyPatternFormats="0" applyAlignmentFormats="0" applyWidthHeightFormats="1" dataCaption="Values" updatedVersion="7" minRefreshableVersion="3" useAutoFormatting="1" itemPrintTitles="1" createdVersion="7" indent="0" compact="0" compactData="0" multipleFieldFilters="0" chartFormat="8">
  <location ref="AD5:AI11" firstHeaderRow="1" firstDataRow="2" firstDataCol="1"/>
  <pivotFields count="13">
    <pivotField compact="0" outline="0" showAll="0"/>
    <pivotField compact="0" numFmtId="14" outline="0" showAll="0"/>
    <pivotField axis="axisCol" compact="0" outline="0" showAll="0">
      <items count="5">
        <item x="0"/>
        <item x="1"/>
        <item x="2"/>
        <item x="3"/>
        <item t="default"/>
      </items>
    </pivotField>
    <pivotField axis="axisRow" compact="0" outline="0" showAll="0">
      <items count="5">
        <item x="2"/>
        <item x="0"/>
        <item x="1"/>
        <item x="3"/>
        <item t="default"/>
      </items>
    </pivotField>
    <pivotField compact="0" outline="0" showAll="0">
      <items count="12">
        <item x="5"/>
        <item x="2"/>
        <item x="1"/>
        <item x="9"/>
        <item x="3"/>
        <item x="8"/>
        <item x="4"/>
        <item x="7"/>
        <item x="10"/>
        <item x="6"/>
        <item x="0"/>
        <item t="default"/>
      </items>
    </pivotField>
    <pivotField compact="0" outline="0" showAll="0">
      <items count="7">
        <item x="4"/>
        <item x="2"/>
        <item x="1"/>
        <item x="3"/>
        <item x="0"/>
        <item x="5"/>
        <item t="default"/>
      </items>
    </pivotField>
    <pivotField compact="0" numFmtId="164" outline="0" showAll="0"/>
    <pivotField dataField="1" compact="0" numFmtId="164" outline="0" showAll="0"/>
    <pivotField compact="0" outline="0" showAll="0"/>
    <pivotField compact="0" outline="0" showAll="0" defaultSubtotal="0"/>
    <pivotField compact="0" outline="0" dragToRow="0" dragToCol="0" dragToPage="0" showAll="0" defaultSubtotal="0"/>
    <pivotField compact="0" outline="0" dragToRow="0" dragToCol="0" dragToPage="0" showAll="0" defaultSubtotal="0"/>
    <pivotField compact="0" outline="0" dragToRow="0" dragToCol="0" dragToPage="0" showAll="0" defaultSubtotal="0"/>
  </pivotFields>
  <rowFields count="1">
    <field x="3"/>
  </rowFields>
  <rowItems count="5">
    <i>
      <x/>
    </i>
    <i>
      <x v="1"/>
    </i>
    <i>
      <x v="2"/>
    </i>
    <i>
      <x v="3"/>
    </i>
    <i t="grand">
      <x/>
    </i>
  </rowItems>
  <colFields count="1">
    <field x="2"/>
  </colFields>
  <colItems count="5">
    <i>
      <x/>
    </i>
    <i>
      <x v="1"/>
    </i>
    <i>
      <x v="2"/>
    </i>
    <i>
      <x v="3"/>
    </i>
    <i t="grand">
      <x/>
    </i>
  </colItems>
  <dataFields count="1">
    <dataField name="Sum of Total_Sales" fld="7" baseField="0" baseItem="0"/>
  </dataFields>
  <formats count="9">
    <format dxfId="19">
      <pivotArea type="all" dataOnly="0" outline="0" fieldPosition="0"/>
    </format>
    <format dxfId="18">
      <pivotArea outline="0" collapsedLevelsAreSubtotals="1" fieldPosition="0"/>
    </format>
    <format dxfId="17">
      <pivotArea type="origin" dataOnly="0" labelOnly="1" outline="0" fieldPosition="0"/>
    </format>
    <format dxfId="16">
      <pivotArea field="3" type="button" dataOnly="0" labelOnly="1" outline="0" axis="axisRow" fieldPosition="0"/>
    </format>
    <format dxfId="15">
      <pivotArea type="topRight" dataOnly="0" labelOnly="1" outline="0" fieldPosition="0"/>
    </format>
    <format dxfId="14">
      <pivotArea field="2" type="button" dataOnly="0" labelOnly="1" outline="0" axis="axisCol" fieldPosition="0"/>
    </format>
    <format dxfId="13">
      <pivotArea dataOnly="0" labelOnly="1" grandRow="1" outline="0" fieldPosition="0"/>
    </format>
    <format dxfId="12">
      <pivotArea dataOnly="0" labelOnly="1" fieldPosition="0">
        <references count="1">
          <reference field="3" count="0"/>
        </references>
      </pivotArea>
    </format>
    <format dxfId="11">
      <pivotArea dataOnly="0" labelOnly="1" grandCol="1" outline="0" fieldPosition="0"/>
    </format>
  </formats>
  <chartFormats count="4">
    <chartFormat chart="3" format="0" series="1">
      <pivotArea type="data" outline="0" fieldPosition="0">
        <references count="2">
          <reference field="4294967294" count="1" selected="0">
            <x v="0"/>
          </reference>
          <reference field="2" count="1" selected="0">
            <x v="0"/>
          </reference>
        </references>
      </pivotArea>
    </chartFormat>
    <chartFormat chart="3" format="1" series="1">
      <pivotArea type="data" outline="0" fieldPosition="0">
        <references count="2">
          <reference field="4294967294" count="1" selected="0">
            <x v="0"/>
          </reference>
          <reference field="2" count="1" selected="0">
            <x v="1"/>
          </reference>
        </references>
      </pivotArea>
    </chartFormat>
    <chartFormat chart="3" format="2" series="1">
      <pivotArea type="data" outline="0" fieldPosition="0">
        <references count="2">
          <reference field="4294967294" count="1" selected="0">
            <x v="0"/>
          </reference>
          <reference field="2" count="1" selected="0">
            <x v="2"/>
          </reference>
        </references>
      </pivotArea>
    </chartFormat>
    <chartFormat chart="3" format="3" series="1">
      <pivotArea type="data" outline="0" fieldPosition="0">
        <references count="2">
          <reference field="4294967294" count="1" selected="0">
            <x v="0"/>
          </reference>
          <reference field="2"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ales_High_vs_Low" xr10:uid="{4BA74907-8CB4-4D36-9042-3BA6817959CB}" sourceName="Sales High vs Low">
  <pivotTables>
    <pivotTable tabId="6" name="PivotTable2"/>
  </pivotTables>
  <data>
    <tabular pivotCacheId="1269741264">
      <items count="2">
        <i x="0"/>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rder_Date" xr10:uid="{D188395C-C2A7-4775-B8BC-AB0233ABCDA8}" sourceName="Order_Date">
  <pivotTables>
    <pivotTable tabId="6" name="PivotTable2"/>
  </pivotTables>
  <data>
    <tabular pivotCacheId="1269741264">
      <items count="14">
        <i x="1" s="1"/>
        <i x="2" s="1"/>
        <i x="3" s="1"/>
        <i x="4" s="1"/>
        <i x="5" s="1"/>
        <i x="6" s="1" nd="1"/>
        <i x="7" s="1" nd="1"/>
        <i x="8" s="1" nd="1"/>
        <i x="9" s="1" nd="1"/>
        <i x="10" s="1" nd="1"/>
        <i x="11" s="1" nd="1"/>
        <i x="12" s="1" nd="1"/>
        <i x="0" s="1" nd="1"/>
        <i x="13"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ales High vs Low" xr10:uid="{9301261F-ABDC-40BD-8D47-35F42BA8549B}" cache="Slicer_Sales_High_vs_Low" caption="Sales High vs Low" rowHeight="241300"/>
  <slicer name="Order_Date 2" xr10:uid="{201F5246-08A4-432C-9F57-4DB6A34FBED9}" cache="Slicer_Order_Date" caption="Order_Date"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FCE2CA6-A8F7-4C09-B4A2-59DEDD17C3E2}" name="Table4" displayName="Table4" ref="A1:I131" totalsRowShown="0" headerRowDxfId="39" dataDxfId="38">
  <autoFilter ref="A1:I131" xr:uid="{6D14B1FB-B62A-4F8A-A009-70717CB0FFCC}"/>
  <tableColumns count="9">
    <tableColumn id="1" xr3:uid="{DDA3424E-82EA-4409-85F5-5B56B43E07D4}" name="Order_ID" dataDxfId="37" totalsRowDxfId="36"/>
    <tableColumn id="2" xr3:uid="{951BD9A0-4426-423E-8F61-EB55C3D95717}" name="Order_Date" dataDxfId="35" totalsRowDxfId="34"/>
    <tableColumn id="3" xr3:uid="{6336FF0E-D15F-4D93-9D44-BC2519622911}" name="Region_Clean" dataDxfId="33" totalsRowDxfId="32"/>
    <tableColumn id="4" xr3:uid="{8772A894-C298-4B4B-8795-1A51D4B75FEE}" name="Category_Clean" dataDxfId="31" totalsRowDxfId="30"/>
    <tableColumn id="5" xr3:uid="{87265C9D-E3C8-419F-BF9E-ED893538377B}" name="Product_Clean" dataDxfId="29" totalsRowDxfId="28"/>
    <tableColumn id="6" xr3:uid="{37E9E446-136C-4259-B86E-27EF5799D376}" name="Quantity" dataDxfId="27" totalsRowDxfId="26"/>
    <tableColumn id="7" xr3:uid="{9B517B27-EB2F-4EA0-833C-65CE678079C6}" name="Unit_Price" dataDxfId="25" totalsRowDxfId="24"/>
    <tableColumn id="8" xr3:uid="{EF56F37A-C0EC-4C7B-9C36-809B921954CB}" name="Total_Sales" dataDxfId="23" totalsRowDxfId="22">
      <calculatedColumnFormula>F2*G2</calculatedColumnFormula>
    </tableColumn>
    <tableColumn id="10" xr3:uid="{9E5E43A4-65A3-4ECF-A6E9-8CA3396F99EF}" name="Sales High vs Low" dataDxfId="21" totalsRowDxfId="20">
      <calculatedColumnFormula>IF(Table4[[#This Row],[Total_Sales]]&gt;=200000,"High","Low")</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Order_Date" xr10:uid="{1206D889-80A1-499F-8DD6-BB31E57BE6A6}" sourceName="Order_Date">
  <pivotTables>
    <pivotTable tabId="6" name="PivotTable6"/>
  </pivotTables>
  <state minimalRefreshVersion="6" lastRefreshVersion="6" pivotCacheId="1269741264" filterType="dateBetween">
    <selection startDate="2024-01-01T00:00:00" endDate="2024-05-31T00:00:00"/>
    <bounds startDate="2024-01-01T00:00:00" endDate="2025-01-01T00:00:00"/>
  </state>
</timelineCacheDefinition>
</file>

<file path=xl/timelineCaches/timelineCache2.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Order_Date1" xr10:uid="{EE783235-0AD6-4EB0-B6A6-698A83A96B86}" sourceName="Order_Date">
  <pivotTables>
    <pivotTable tabId="6" name="PivotTable8"/>
  </pivotTables>
  <state minimalRefreshVersion="6" lastRefreshVersion="6" pivotCacheId="1269741264" filterType="unknown">
    <bounds startDate="2024-01-01T00:00:00" endDate="2025-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Order_Date" xr10:uid="{5BCEF478-0D03-4530-8A01-E6E208E2EE1E}" cache="NativeTimeline_Order_Date" caption="Order_Date" level="2" selectionLevel="2" scrollPosition="2024-01-01T00:00:00"/>
  <timeline name="Order_Date 1" xr10:uid="{B5ECCDC0-D94D-48C4-98A9-4831F23AA1FE}" cache="NativeTimeline_Order_Date1" caption="Order_Date" level="2" selectionLevel="2" scrollPosition="2024-01-01T00:00:00"/>
</timelines>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microsoft.com/office/2011/relationships/timeline" Target="../timelines/timeline1.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drawing" Target="../drawings/drawing1.xml"/><Relationship Id="rId5" Type="http://schemas.openxmlformats.org/officeDocument/2006/relationships/pivotTable" Target="../pivotTables/pivotTable5.xml"/><Relationship Id="rId10" Type="http://schemas.openxmlformats.org/officeDocument/2006/relationships/printerSettings" Target="../printerSettings/printerSettings1.bin"/><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EC3684-D40A-4EF8-94E9-C973D5286C90}">
  <sheetPr codeName="Sheet13"/>
  <dimension ref="A1:K137"/>
  <sheetViews>
    <sheetView zoomScale="76" workbookViewId="0">
      <selection activeCell="J122" sqref="J122"/>
    </sheetView>
  </sheetViews>
  <sheetFormatPr defaultRowHeight="15" x14ac:dyDescent="0.25"/>
  <cols>
    <col min="1" max="1" width="15.140625" bestFit="1" customWidth="1"/>
    <col min="2" max="2" width="17.42578125" style="2" bestFit="1" customWidth="1"/>
    <col min="3" max="3" width="19.140625" bestFit="1" customWidth="1"/>
    <col min="4" max="4" width="21" bestFit="1" customWidth="1"/>
    <col min="5" max="5" width="20" bestFit="1" customWidth="1"/>
    <col min="6" max="6" width="15" bestFit="1" customWidth="1"/>
    <col min="7" max="7" width="16.42578125" style="4" bestFit="1" customWidth="1"/>
    <col min="8" max="8" width="16.85546875" style="5" bestFit="1" customWidth="1"/>
    <col min="9" max="9" width="22.140625" bestFit="1" customWidth="1"/>
    <col min="11" max="11" width="10.140625" bestFit="1" customWidth="1"/>
    <col min="12" max="13" width="2.42578125" bestFit="1" customWidth="1"/>
    <col min="14" max="14" width="8" bestFit="1" customWidth="1"/>
    <col min="15" max="15" width="10.5703125" bestFit="1" customWidth="1"/>
    <col min="16" max="16" width="9.42578125" bestFit="1" customWidth="1"/>
    <col min="17" max="17" width="11.28515625" bestFit="1" customWidth="1"/>
    <col min="18" max="20" width="8" bestFit="1" customWidth="1"/>
    <col min="21" max="21" width="11.28515625" bestFit="1" customWidth="1"/>
  </cols>
  <sheetData>
    <row r="1" spans="1:11" x14ac:dyDescent="0.25">
      <c r="A1" s="7" t="s">
        <v>25</v>
      </c>
      <c r="B1" s="9" t="s">
        <v>24</v>
      </c>
      <c r="C1" s="7" t="s">
        <v>37</v>
      </c>
      <c r="D1" s="7" t="s">
        <v>36</v>
      </c>
      <c r="E1" s="7" t="s">
        <v>35</v>
      </c>
      <c r="F1" s="7" t="s">
        <v>23</v>
      </c>
      <c r="G1" s="8" t="s">
        <v>22</v>
      </c>
      <c r="H1" s="8" t="s">
        <v>21</v>
      </c>
      <c r="I1" s="7" t="s">
        <v>38</v>
      </c>
    </row>
    <row r="2" spans="1:11" x14ac:dyDescent="0.25">
      <c r="A2" s="3">
        <v>1001</v>
      </c>
      <c r="B2" s="6">
        <v>45292</v>
      </c>
      <c r="C2" s="3" t="s">
        <v>20</v>
      </c>
      <c r="D2" s="3" t="s">
        <v>6</v>
      </c>
      <c r="E2" s="3" t="s">
        <v>15</v>
      </c>
      <c r="F2" s="3">
        <v>5</v>
      </c>
      <c r="G2" s="5">
        <v>75000</v>
      </c>
      <c r="H2" s="3">
        <f t="shared" ref="H2:H33" si="0">F2*G2</f>
        <v>375000</v>
      </c>
      <c r="I2" s="3" t="str">
        <f>IF(Table4[[#This Row],[Total_Sales]]&gt;=200000,"High","Low")</f>
        <v>High</v>
      </c>
    </row>
    <row r="3" spans="1:11" x14ac:dyDescent="0.25">
      <c r="A3" s="3">
        <v>1002</v>
      </c>
      <c r="B3" s="6">
        <v>45293</v>
      </c>
      <c r="C3" s="3" t="s">
        <v>20</v>
      </c>
      <c r="D3" s="3" t="s">
        <v>6</v>
      </c>
      <c r="E3" s="3" t="s">
        <v>15</v>
      </c>
      <c r="F3" s="3">
        <v>3</v>
      </c>
      <c r="G3" s="5">
        <v>75000</v>
      </c>
      <c r="H3" s="3">
        <f t="shared" si="0"/>
        <v>225000</v>
      </c>
      <c r="I3" s="3" t="str">
        <f>IF(Table4[[#This Row],[Total_Sales]]&gt;=200000,"High","Low")</f>
        <v>High</v>
      </c>
      <c r="K3" s="4"/>
    </row>
    <row r="4" spans="1:11" x14ac:dyDescent="0.25">
      <c r="A4" s="3">
        <v>1003</v>
      </c>
      <c r="B4" s="6">
        <v>45294</v>
      </c>
      <c r="C4" s="3" t="s">
        <v>14</v>
      </c>
      <c r="D4" s="3" t="s">
        <v>11</v>
      </c>
      <c r="E4" s="3" t="s">
        <v>10</v>
      </c>
      <c r="F4" s="3">
        <v>2</v>
      </c>
      <c r="G4" s="5">
        <v>250000</v>
      </c>
      <c r="H4" s="3">
        <f t="shared" si="0"/>
        <v>500000</v>
      </c>
      <c r="I4" s="3" t="str">
        <f>IF(Table4[[#This Row],[Total_Sales]]&gt;=200000,"High","Low")</f>
        <v>High</v>
      </c>
    </row>
    <row r="5" spans="1:11" x14ac:dyDescent="0.25">
      <c r="A5" s="3">
        <v>1004</v>
      </c>
      <c r="B5" s="6">
        <v>45294</v>
      </c>
      <c r="C5" s="3" t="s">
        <v>12</v>
      </c>
      <c r="D5" s="3" t="s">
        <v>8</v>
      </c>
      <c r="E5" s="3" t="s">
        <v>17</v>
      </c>
      <c r="F5" s="3">
        <v>4</v>
      </c>
      <c r="G5" s="5">
        <v>45000</v>
      </c>
      <c r="H5" s="3">
        <f t="shared" si="0"/>
        <v>180000</v>
      </c>
      <c r="I5" s="3" t="str">
        <f>IF(Table4[[#This Row],[Total_Sales]]&gt;=200000,"High","Low")</f>
        <v>Low</v>
      </c>
    </row>
    <row r="6" spans="1:11" x14ac:dyDescent="0.25">
      <c r="A6" s="3">
        <v>1005</v>
      </c>
      <c r="B6" s="6">
        <v>45296</v>
      </c>
      <c r="C6" s="3" t="s">
        <v>9</v>
      </c>
      <c r="D6" s="3" t="s">
        <v>6</v>
      </c>
      <c r="E6" s="3" t="s">
        <v>5</v>
      </c>
      <c r="F6" s="3">
        <v>1</v>
      </c>
      <c r="G6" s="5">
        <v>150000</v>
      </c>
      <c r="H6" s="3">
        <f t="shared" si="0"/>
        <v>150000</v>
      </c>
      <c r="I6" s="3" t="str">
        <f>IF(Table4[[#This Row],[Total_Sales]]&gt;=200000,"High","Low")</f>
        <v>Low</v>
      </c>
    </row>
    <row r="7" spans="1:11" x14ac:dyDescent="0.25">
      <c r="A7" s="3">
        <v>1006</v>
      </c>
      <c r="B7" s="6">
        <v>45297</v>
      </c>
      <c r="C7" s="3" t="s">
        <v>20</v>
      </c>
      <c r="D7" s="3" t="s">
        <v>6</v>
      </c>
      <c r="E7" s="3" t="s">
        <v>15</v>
      </c>
      <c r="F7" s="3">
        <v>6</v>
      </c>
      <c r="G7" s="5">
        <v>75000</v>
      </c>
      <c r="H7" s="3">
        <f t="shared" si="0"/>
        <v>450000</v>
      </c>
      <c r="I7" s="3" t="str">
        <f>IF(Table4[[#This Row],[Total_Sales]]&gt;=200000,"High","Low")</f>
        <v>High</v>
      </c>
    </row>
    <row r="8" spans="1:11" x14ac:dyDescent="0.25">
      <c r="A8" s="3">
        <v>1007</v>
      </c>
      <c r="B8" s="6">
        <v>45298</v>
      </c>
      <c r="C8" s="3" t="s">
        <v>14</v>
      </c>
      <c r="D8" s="3" t="s">
        <v>11</v>
      </c>
      <c r="E8" s="3" t="s">
        <v>0</v>
      </c>
      <c r="F8" s="3">
        <v>2</v>
      </c>
      <c r="G8" s="5">
        <v>120000</v>
      </c>
      <c r="H8" s="3">
        <f t="shared" si="0"/>
        <v>240000</v>
      </c>
      <c r="I8" s="3" t="str">
        <f>IF(Table4[[#This Row],[Total_Sales]]&gt;=200000,"High","Low")</f>
        <v>High</v>
      </c>
    </row>
    <row r="9" spans="1:11" x14ac:dyDescent="0.25">
      <c r="A9" s="3">
        <v>1008</v>
      </c>
      <c r="B9" s="6">
        <v>45299</v>
      </c>
      <c r="C9" s="3" t="s">
        <v>12</v>
      </c>
      <c r="D9" s="3" t="s">
        <v>8</v>
      </c>
      <c r="E9" s="3" t="s">
        <v>7</v>
      </c>
      <c r="F9" s="3">
        <v>3</v>
      </c>
      <c r="G9" s="5">
        <v>55000</v>
      </c>
      <c r="H9" s="3">
        <f t="shared" si="0"/>
        <v>165000</v>
      </c>
      <c r="I9" s="3" t="str">
        <f>IF(Table4[[#This Row],[Total_Sales]]&gt;=200000,"High","Low")</f>
        <v>Low</v>
      </c>
    </row>
    <row r="10" spans="1:11" x14ac:dyDescent="0.25">
      <c r="A10" s="3">
        <v>1009</v>
      </c>
      <c r="B10" s="6">
        <v>45300</v>
      </c>
      <c r="C10" s="3" t="s">
        <v>9</v>
      </c>
      <c r="D10" s="3" t="s">
        <v>13</v>
      </c>
      <c r="E10" s="3" t="s">
        <v>18</v>
      </c>
      <c r="F10" s="3">
        <v>2</v>
      </c>
      <c r="G10" s="5">
        <v>250000</v>
      </c>
      <c r="H10" s="3">
        <f t="shared" si="0"/>
        <v>500000</v>
      </c>
      <c r="I10" s="3" t="str">
        <f>IF(Table4[[#This Row],[Total_Sales]]&gt;=200000,"High","Low")</f>
        <v>High</v>
      </c>
    </row>
    <row r="11" spans="1:11" x14ac:dyDescent="0.25">
      <c r="A11" s="3">
        <v>1010</v>
      </c>
      <c r="B11" s="6">
        <v>45301</v>
      </c>
      <c r="C11" s="3" t="s">
        <v>20</v>
      </c>
      <c r="D11" s="3" t="s">
        <v>13</v>
      </c>
      <c r="E11" s="3" t="s">
        <v>18</v>
      </c>
      <c r="F11" s="3">
        <v>1</v>
      </c>
      <c r="G11" s="5">
        <v>250000</v>
      </c>
      <c r="H11" s="3">
        <f t="shared" si="0"/>
        <v>250000</v>
      </c>
      <c r="I11" s="3" t="str">
        <f>IF(Table4[[#This Row],[Total_Sales]]&gt;=200000,"High","Low")</f>
        <v>High</v>
      </c>
    </row>
    <row r="12" spans="1:11" x14ac:dyDescent="0.25">
      <c r="A12" s="3">
        <v>1011</v>
      </c>
      <c r="B12" s="6">
        <v>45302</v>
      </c>
      <c r="C12" s="3" t="s">
        <v>14</v>
      </c>
      <c r="D12" s="3" t="s">
        <v>6</v>
      </c>
      <c r="E12" s="3" t="s">
        <v>15</v>
      </c>
      <c r="F12" s="3">
        <v>4</v>
      </c>
      <c r="G12" s="5">
        <v>75000</v>
      </c>
      <c r="H12" s="3">
        <f t="shared" si="0"/>
        <v>300000</v>
      </c>
      <c r="I12" s="3" t="str">
        <f>IF(Table4[[#This Row],[Total_Sales]]&gt;=200000,"High","Low")</f>
        <v>High</v>
      </c>
    </row>
    <row r="13" spans="1:11" x14ac:dyDescent="0.25">
      <c r="A13" s="3">
        <v>1012</v>
      </c>
      <c r="B13" s="6">
        <v>45303</v>
      </c>
      <c r="C13" s="3" t="s">
        <v>12</v>
      </c>
      <c r="D13" s="3" t="s">
        <v>11</v>
      </c>
      <c r="E13" s="3" t="s">
        <v>19</v>
      </c>
      <c r="F13" s="3">
        <v>5</v>
      </c>
      <c r="G13" s="5">
        <v>85000</v>
      </c>
      <c r="H13" s="3">
        <f t="shared" si="0"/>
        <v>425000</v>
      </c>
      <c r="I13" s="3" t="str">
        <f>IF(Table4[[#This Row],[Total_Sales]]&gt;=200000,"High","Low")</f>
        <v>High</v>
      </c>
    </row>
    <row r="14" spans="1:11" x14ac:dyDescent="0.25">
      <c r="A14" s="3">
        <v>1013</v>
      </c>
      <c r="B14" s="6">
        <v>45304</v>
      </c>
      <c r="C14" s="3" t="s">
        <v>9</v>
      </c>
      <c r="D14" s="3" t="s">
        <v>8</v>
      </c>
      <c r="E14" s="3" t="s">
        <v>17</v>
      </c>
      <c r="F14" s="3">
        <v>2</v>
      </c>
      <c r="G14" s="5">
        <v>45000</v>
      </c>
      <c r="H14" s="3">
        <f t="shared" si="0"/>
        <v>90000</v>
      </c>
      <c r="I14" s="3" t="str">
        <f>IF(Table4[[#This Row],[Total_Sales]]&gt;=200000,"High","Low")</f>
        <v>Low</v>
      </c>
    </row>
    <row r="15" spans="1:11" x14ac:dyDescent="0.25">
      <c r="A15" s="3">
        <v>1014</v>
      </c>
      <c r="B15" s="6">
        <v>45304</v>
      </c>
      <c r="C15" s="3" t="s">
        <v>20</v>
      </c>
      <c r="D15" s="3" t="s">
        <v>6</v>
      </c>
      <c r="E15" s="3" t="s">
        <v>15</v>
      </c>
      <c r="F15" s="3">
        <v>3</v>
      </c>
      <c r="G15" s="5">
        <v>75000</v>
      </c>
      <c r="H15" s="3">
        <f t="shared" si="0"/>
        <v>225000</v>
      </c>
      <c r="I15" s="3" t="str">
        <f>IF(Table4[[#This Row],[Total_Sales]]&gt;=200000,"High","Low")</f>
        <v>High</v>
      </c>
    </row>
    <row r="16" spans="1:11" x14ac:dyDescent="0.25">
      <c r="A16" s="3">
        <v>1015</v>
      </c>
      <c r="B16" s="6">
        <v>45306</v>
      </c>
      <c r="C16" s="3" t="s">
        <v>14</v>
      </c>
      <c r="D16" s="3" t="s">
        <v>11</v>
      </c>
      <c r="E16" s="3" t="s">
        <v>16</v>
      </c>
      <c r="F16" s="3">
        <v>1</v>
      </c>
      <c r="G16" s="5">
        <v>150000</v>
      </c>
      <c r="H16" s="3">
        <f t="shared" si="0"/>
        <v>150000</v>
      </c>
      <c r="I16" s="3" t="str">
        <f>IF(Table4[[#This Row],[Total_Sales]]&gt;=200000,"High","Low")</f>
        <v>Low</v>
      </c>
    </row>
    <row r="17" spans="1:9" x14ac:dyDescent="0.25">
      <c r="A17" s="3">
        <v>1016</v>
      </c>
      <c r="B17" s="6">
        <v>45307</v>
      </c>
      <c r="C17" s="3" t="s">
        <v>12</v>
      </c>
      <c r="D17" s="3" t="s">
        <v>8</v>
      </c>
      <c r="E17" s="3" t="s">
        <v>7</v>
      </c>
      <c r="F17" s="3">
        <v>4</v>
      </c>
      <c r="G17" s="5">
        <v>55000</v>
      </c>
      <c r="H17" s="3">
        <f t="shared" si="0"/>
        <v>220000</v>
      </c>
      <c r="I17" s="3" t="str">
        <f>IF(Table4[[#This Row],[Total_Sales]]&gt;=200000,"High","Low")</f>
        <v>High</v>
      </c>
    </row>
    <row r="18" spans="1:9" x14ac:dyDescent="0.25">
      <c r="A18" s="3">
        <v>1017</v>
      </c>
      <c r="B18" s="6">
        <v>45308</v>
      </c>
      <c r="C18" s="3" t="s">
        <v>9</v>
      </c>
      <c r="D18" s="3" t="s">
        <v>13</v>
      </c>
      <c r="E18" s="3" t="s">
        <v>18</v>
      </c>
      <c r="F18" s="3">
        <v>3</v>
      </c>
      <c r="G18" s="5">
        <v>250000</v>
      </c>
      <c r="H18" s="3">
        <f t="shared" si="0"/>
        <v>750000</v>
      </c>
      <c r="I18" s="3" t="str">
        <f>IF(Table4[[#This Row],[Total_Sales]]&gt;=200000,"High","Low")</f>
        <v>High</v>
      </c>
    </row>
    <row r="19" spans="1:9" x14ac:dyDescent="0.25">
      <c r="A19" s="3">
        <v>1018</v>
      </c>
      <c r="B19" s="6">
        <v>45309</v>
      </c>
      <c r="C19" s="3" t="s">
        <v>20</v>
      </c>
      <c r="D19" s="3" t="s">
        <v>6</v>
      </c>
      <c r="E19" s="3" t="s">
        <v>5</v>
      </c>
      <c r="F19" s="3">
        <v>2</v>
      </c>
      <c r="G19" s="5">
        <v>150000</v>
      </c>
      <c r="H19" s="3">
        <f t="shared" si="0"/>
        <v>300000</v>
      </c>
      <c r="I19" s="3" t="str">
        <f>IF(Table4[[#This Row],[Total_Sales]]&gt;=200000,"High","Low")</f>
        <v>High</v>
      </c>
    </row>
    <row r="20" spans="1:9" x14ac:dyDescent="0.25">
      <c r="A20" s="3">
        <v>1019</v>
      </c>
      <c r="B20" s="6">
        <v>45310</v>
      </c>
      <c r="C20" s="3" t="s">
        <v>14</v>
      </c>
      <c r="D20" s="3" t="s">
        <v>11</v>
      </c>
      <c r="E20" s="3" t="s">
        <v>10</v>
      </c>
      <c r="F20" s="3">
        <v>3</v>
      </c>
      <c r="G20" s="5">
        <v>250000</v>
      </c>
      <c r="H20" s="3">
        <f t="shared" si="0"/>
        <v>750000</v>
      </c>
      <c r="I20" s="3" t="str">
        <f>IF(Table4[[#This Row],[Total_Sales]]&gt;=200000,"High","Low")</f>
        <v>High</v>
      </c>
    </row>
    <row r="21" spans="1:9" x14ac:dyDescent="0.25">
      <c r="A21" s="3">
        <v>1020</v>
      </c>
      <c r="B21" s="6">
        <v>45311</v>
      </c>
      <c r="C21" s="3" t="s">
        <v>12</v>
      </c>
      <c r="D21" s="3" t="s">
        <v>8</v>
      </c>
      <c r="E21" s="3" t="s">
        <v>17</v>
      </c>
      <c r="F21" s="3">
        <v>5</v>
      </c>
      <c r="G21" s="5">
        <v>45000</v>
      </c>
      <c r="H21" s="3">
        <f t="shared" si="0"/>
        <v>225000</v>
      </c>
      <c r="I21" s="3" t="str">
        <f>IF(Table4[[#This Row],[Total_Sales]]&gt;=200000,"High","Low")</f>
        <v>High</v>
      </c>
    </row>
    <row r="22" spans="1:9" x14ac:dyDescent="0.25">
      <c r="A22" s="3">
        <v>1021</v>
      </c>
      <c r="B22" s="6">
        <v>45312</v>
      </c>
      <c r="C22" s="3" t="s">
        <v>9</v>
      </c>
      <c r="D22" s="3" t="s">
        <v>6</v>
      </c>
      <c r="E22" s="3" t="s">
        <v>15</v>
      </c>
      <c r="F22" s="3">
        <v>2</v>
      </c>
      <c r="G22" s="5">
        <v>75000</v>
      </c>
      <c r="H22" s="3">
        <f t="shared" si="0"/>
        <v>150000</v>
      </c>
      <c r="I22" s="3" t="str">
        <f>IF(Table4[[#This Row],[Total_Sales]]&gt;=200000,"High","Low")</f>
        <v>Low</v>
      </c>
    </row>
    <row r="23" spans="1:9" x14ac:dyDescent="0.25">
      <c r="A23" s="3">
        <v>1022</v>
      </c>
      <c r="B23" s="6">
        <v>45313</v>
      </c>
      <c r="C23" s="3" t="s">
        <v>20</v>
      </c>
      <c r="D23" s="3" t="s">
        <v>11</v>
      </c>
      <c r="E23" s="3" t="s">
        <v>19</v>
      </c>
      <c r="F23" s="3">
        <v>4</v>
      </c>
      <c r="G23" s="5">
        <v>85000</v>
      </c>
      <c r="H23" s="3">
        <f t="shared" si="0"/>
        <v>340000</v>
      </c>
      <c r="I23" s="3" t="str">
        <f>IF(Table4[[#This Row],[Total_Sales]]&gt;=200000,"High","Low")</f>
        <v>High</v>
      </c>
    </row>
    <row r="24" spans="1:9" x14ac:dyDescent="0.25">
      <c r="A24" s="3">
        <v>1023</v>
      </c>
      <c r="B24" s="6">
        <v>45314</v>
      </c>
      <c r="C24" s="3" t="s">
        <v>14</v>
      </c>
      <c r="D24" s="3" t="s">
        <v>8</v>
      </c>
      <c r="E24" s="3" t="s">
        <v>7</v>
      </c>
      <c r="F24" s="3">
        <v>2</v>
      </c>
      <c r="G24" s="5">
        <v>55000</v>
      </c>
      <c r="H24" s="3">
        <f t="shared" si="0"/>
        <v>110000</v>
      </c>
      <c r="I24" s="3" t="str">
        <f>IF(Table4[[#This Row],[Total_Sales]]&gt;=200000,"High","Low")</f>
        <v>Low</v>
      </c>
    </row>
    <row r="25" spans="1:9" x14ac:dyDescent="0.25">
      <c r="A25" s="3">
        <v>1024</v>
      </c>
      <c r="B25" s="6">
        <v>45314</v>
      </c>
      <c r="C25" s="3" t="s">
        <v>12</v>
      </c>
      <c r="D25" s="3" t="s">
        <v>13</v>
      </c>
      <c r="E25" s="3" t="s">
        <v>18</v>
      </c>
      <c r="F25" s="3">
        <v>1</v>
      </c>
      <c r="G25" s="5">
        <v>250000</v>
      </c>
      <c r="H25" s="3">
        <f t="shared" si="0"/>
        <v>250000</v>
      </c>
      <c r="I25" s="3" t="str">
        <f>IF(Table4[[#This Row],[Total_Sales]]&gt;=200000,"High","Low")</f>
        <v>High</v>
      </c>
    </row>
    <row r="26" spans="1:9" x14ac:dyDescent="0.25">
      <c r="A26" s="3">
        <v>1025</v>
      </c>
      <c r="B26" s="6">
        <v>45316</v>
      </c>
      <c r="C26" s="3" t="s">
        <v>9</v>
      </c>
      <c r="D26" s="3" t="s">
        <v>6</v>
      </c>
      <c r="E26" s="3" t="s">
        <v>15</v>
      </c>
      <c r="F26" s="3">
        <v>3</v>
      </c>
      <c r="G26" s="5">
        <v>75000</v>
      </c>
      <c r="H26" s="3">
        <f t="shared" si="0"/>
        <v>225000</v>
      </c>
      <c r="I26" s="3" t="str">
        <f>IF(Table4[[#This Row],[Total_Sales]]&gt;=200000,"High","Low")</f>
        <v>High</v>
      </c>
    </row>
    <row r="27" spans="1:9" x14ac:dyDescent="0.25">
      <c r="A27" s="3">
        <v>1026</v>
      </c>
      <c r="B27" s="6">
        <v>45317</v>
      </c>
      <c r="C27" s="3" t="s">
        <v>20</v>
      </c>
      <c r="D27" s="3" t="s">
        <v>11</v>
      </c>
      <c r="E27" s="3" t="s">
        <v>16</v>
      </c>
      <c r="F27" s="3">
        <v>2</v>
      </c>
      <c r="G27" s="5">
        <v>150000</v>
      </c>
      <c r="H27" s="3">
        <f t="shared" si="0"/>
        <v>300000</v>
      </c>
      <c r="I27" s="3" t="str">
        <f>IF(Table4[[#This Row],[Total_Sales]]&gt;=200000,"High","Low")</f>
        <v>High</v>
      </c>
    </row>
    <row r="28" spans="1:9" x14ac:dyDescent="0.25">
      <c r="A28" s="3">
        <v>1027</v>
      </c>
      <c r="B28" s="6">
        <v>45318</v>
      </c>
      <c r="C28" s="3" t="s">
        <v>14</v>
      </c>
      <c r="D28" s="3" t="s">
        <v>8</v>
      </c>
      <c r="E28" s="3" t="s">
        <v>17</v>
      </c>
      <c r="F28" s="3">
        <v>4</v>
      </c>
      <c r="G28" s="5">
        <v>45000</v>
      </c>
      <c r="H28" s="3">
        <f t="shared" si="0"/>
        <v>180000</v>
      </c>
      <c r="I28" s="3" t="str">
        <f>IF(Table4[[#This Row],[Total_Sales]]&gt;=200000,"High","Low")</f>
        <v>Low</v>
      </c>
    </row>
    <row r="29" spans="1:9" x14ac:dyDescent="0.25">
      <c r="A29" s="3">
        <v>1028</v>
      </c>
      <c r="B29" s="6">
        <v>45319</v>
      </c>
      <c r="C29" s="3" t="s">
        <v>12</v>
      </c>
      <c r="D29" s="3" t="s">
        <v>6</v>
      </c>
      <c r="E29" s="3" t="s">
        <v>5</v>
      </c>
      <c r="F29" s="3">
        <v>1</v>
      </c>
      <c r="G29" s="5">
        <v>150000</v>
      </c>
      <c r="H29" s="3">
        <f t="shared" si="0"/>
        <v>150000</v>
      </c>
      <c r="I29" s="3" t="str">
        <f>IF(Table4[[#This Row],[Total_Sales]]&gt;=200000,"High","Low")</f>
        <v>Low</v>
      </c>
    </row>
    <row r="30" spans="1:9" x14ac:dyDescent="0.25">
      <c r="A30" s="3">
        <v>1029</v>
      </c>
      <c r="B30" s="6">
        <v>45320</v>
      </c>
      <c r="C30" s="3" t="s">
        <v>9</v>
      </c>
      <c r="D30" s="3" t="s">
        <v>13</v>
      </c>
      <c r="E30" s="3" t="s">
        <v>18</v>
      </c>
      <c r="F30" s="3">
        <v>2</v>
      </c>
      <c r="G30" s="5">
        <v>250000</v>
      </c>
      <c r="H30" s="3">
        <f t="shared" si="0"/>
        <v>500000</v>
      </c>
      <c r="I30" s="3" t="str">
        <f>IF(Table4[[#This Row],[Total_Sales]]&gt;=200000,"High","Low")</f>
        <v>High</v>
      </c>
    </row>
    <row r="31" spans="1:9" x14ac:dyDescent="0.25">
      <c r="A31" s="3">
        <v>1030</v>
      </c>
      <c r="B31" s="6">
        <v>45321</v>
      </c>
      <c r="C31" s="3" t="s">
        <v>20</v>
      </c>
      <c r="D31" s="3" t="s">
        <v>11</v>
      </c>
      <c r="E31" s="3" t="s">
        <v>0</v>
      </c>
      <c r="F31" s="3">
        <v>3</v>
      </c>
      <c r="G31" s="5">
        <v>120000</v>
      </c>
      <c r="H31" s="3">
        <f t="shared" si="0"/>
        <v>360000</v>
      </c>
      <c r="I31" s="3" t="str">
        <f>IF(Table4[[#This Row],[Total_Sales]]&gt;=200000,"High","Low")</f>
        <v>High</v>
      </c>
    </row>
    <row r="32" spans="1:9" x14ac:dyDescent="0.25">
      <c r="A32" s="3">
        <v>1031</v>
      </c>
      <c r="B32" s="6">
        <v>45323</v>
      </c>
      <c r="C32" s="3" t="s">
        <v>14</v>
      </c>
      <c r="D32" s="3" t="s">
        <v>6</v>
      </c>
      <c r="E32" s="3" t="s">
        <v>15</v>
      </c>
      <c r="F32" s="3">
        <v>5</v>
      </c>
      <c r="G32" s="5">
        <v>75000</v>
      </c>
      <c r="H32" s="3">
        <f t="shared" si="0"/>
        <v>375000</v>
      </c>
      <c r="I32" s="3" t="str">
        <f>IF(Table4[[#This Row],[Total_Sales]]&gt;=200000,"High","Low")</f>
        <v>High</v>
      </c>
    </row>
    <row r="33" spans="1:9" x14ac:dyDescent="0.25">
      <c r="A33" s="3">
        <v>1032</v>
      </c>
      <c r="B33" s="6">
        <v>45324</v>
      </c>
      <c r="C33" s="3" t="s">
        <v>12</v>
      </c>
      <c r="D33" s="3" t="s">
        <v>8</v>
      </c>
      <c r="E33" s="3" t="s">
        <v>7</v>
      </c>
      <c r="F33" s="3">
        <v>3</v>
      </c>
      <c r="G33" s="5">
        <v>55000</v>
      </c>
      <c r="H33" s="3">
        <f t="shared" si="0"/>
        <v>165000</v>
      </c>
      <c r="I33" s="3" t="str">
        <f>IF(Table4[[#This Row],[Total_Sales]]&gt;=200000,"High","Low")</f>
        <v>Low</v>
      </c>
    </row>
    <row r="34" spans="1:9" x14ac:dyDescent="0.25">
      <c r="A34" s="3">
        <v>1033</v>
      </c>
      <c r="B34" s="6">
        <v>45324</v>
      </c>
      <c r="C34" s="3" t="s">
        <v>9</v>
      </c>
      <c r="D34" s="3" t="s">
        <v>11</v>
      </c>
      <c r="E34" s="3" t="s">
        <v>19</v>
      </c>
      <c r="F34" s="3">
        <v>2</v>
      </c>
      <c r="G34" s="5">
        <v>85000</v>
      </c>
      <c r="H34" s="3">
        <f t="shared" ref="H34:H65" si="1">F34*G34</f>
        <v>170000</v>
      </c>
      <c r="I34" s="3" t="str">
        <f>IF(Table4[[#This Row],[Total_Sales]]&gt;=200000,"High","Low")</f>
        <v>Low</v>
      </c>
    </row>
    <row r="35" spans="1:9" x14ac:dyDescent="0.25">
      <c r="A35" s="3">
        <v>1034</v>
      </c>
      <c r="B35" s="6">
        <v>45326</v>
      </c>
      <c r="C35" s="3" t="s">
        <v>20</v>
      </c>
      <c r="D35" s="3" t="s">
        <v>13</v>
      </c>
      <c r="E35" s="3" t="s">
        <v>18</v>
      </c>
      <c r="F35" s="3">
        <v>4</v>
      </c>
      <c r="G35" s="5">
        <v>250000</v>
      </c>
      <c r="H35" s="3">
        <f t="shared" si="1"/>
        <v>1000000</v>
      </c>
      <c r="I35" s="3" t="str">
        <f>IF(Table4[[#This Row],[Total_Sales]]&gt;=200000,"High","Low")</f>
        <v>High</v>
      </c>
    </row>
    <row r="36" spans="1:9" x14ac:dyDescent="0.25">
      <c r="A36" s="3">
        <v>1035</v>
      </c>
      <c r="B36" s="6">
        <v>45327</v>
      </c>
      <c r="C36" s="3" t="s">
        <v>14</v>
      </c>
      <c r="D36" s="3" t="s">
        <v>6</v>
      </c>
      <c r="E36" s="3" t="s">
        <v>5</v>
      </c>
      <c r="F36" s="3">
        <v>1</v>
      </c>
      <c r="G36" s="5">
        <v>150000</v>
      </c>
      <c r="H36" s="3">
        <f t="shared" si="1"/>
        <v>150000</v>
      </c>
      <c r="I36" s="3" t="str">
        <f>IF(Table4[[#This Row],[Total_Sales]]&gt;=200000,"High","Low")</f>
        <v>Low</v>
      </c>
    </row>
    <row r="37" spans="1:9" x14ac:dyDescent="0.25">
      <c r="A37" s="3">
        <v>1036</v>
      </c>
      <c r="B37" s="6">
        <v>45328</v>
      </c>
      <c r="C37" s="3" t="s">
        <v>12</v>
      </c>
      <c r="D37" s="3" t="s">
        <v>8</v>
      </c>
      <c r="E37" s="3" t="s">
        <v>17</v>
      </c>
      <c r="F37" s="3">
        <v>6</v>
      </c>
      <c r="G37" s="5">
        <v>45000</v>
      </c>
      <c r="H37" s="3">
        <f t="shared" si="1"/>
        <v>270000</v>
      </c>
      <c r="I37" s="3" t="str">
        <f>IF(Table4[[#This Row],[Total_Sales]]&gt;=200000,"High","Low")</f>
        <v>High</v>
      </c>
    </row>
    <row r="38" spans="1:9" x14ac:dyDescent="0.25">
      <c r="A38" s="3">
        <v>1037</v>
      </c>
      <c r="B38" s="6">
        <v>45329</v>
      </c>
      <c r="C38" s="3" t="s">
        <v>9</v>
      </c>
      <c r="D38" s="3" t="s">
        <v>11</v>
      </c>
      <c r="E38" s="3" t="s">
        <v>16</v>
      </c>
      <c r="F38" s="3">
        <v>3</v>
      </c>
      <c r="G38" s="5">
        <v>150000</v>
      </c>
      <c r="H38" s="3">
        <f t="shared" si="1"/>
        <v>450000</v>
      </c>
      <c r="I38" s="3" t="str">
        <f>IF(Table4[[#This Row],[Total_Sales]]&gt;=200000,"High","Low")</f>
        <v>High</v>
      </c>
    </row>
    <row r="39" spans="1:9" x14ac:dyDescent="0.25">
      <c r="A39" s="3">
        <v>1038</v>
      </c>
      <c r="B39" s="6">
        <v>45330</v>
      </c>
      <c r="C39" s="3" t="s">
        <v>20</v>
      </c>
      <c r="D39" s="3" t="s">
        <v>6</v>
      </c>
      <c r="E39" s="3" t="s">
        <v>15</v>
      </c>
      <c r="F39" s="3">
        <v>2</v>
      </c>
      <c r="G39" s="5">
        <v>75000</v>
      </c>
      <c r="H39" s="3">
        <f t="shared" si="1"/>
        <v>150000</v>
      </c>
      <c r="I39" s="3" t="str">
        <f>IF(Table4[[#This Row],[Total_Sales]]&gt;=200000,"High","Low")</f>
        <v>Low</v>
      </c>
    </row>
    <row r="40" spans="1:9" x14ac:dyDescent="0.25">
      <c r="A40" s="3">
        <v>1039</v>
      </c>
      <c r="B40" s="6">
        <v>45331</v>
      </c>
      <c r="C40" s="3" t="s">
        <v>14</v>
      </c>
      <c r="D40" s="3" t="s">
        <v>13</v>
      </c>
      <c r="E40" s="3" t="s">
        <v>18</v>
      </c>
      <c r="F40" s="3">
        <v>1</v>
      </c>
      <c r="G40" s="5">
        <v>250000</v>
      </c>
      <c r="H40" s="3">
        <f t="shared" si="1"/>
        <v>250000</v>
      </c>
      <c r="I40" s="3" t="str">
        <f>IF(Table4[[#This Row],[Total_Sales]]&gt;=200000,"High","Low")</f>
        <v>High</v>
      </c>
    </row>
    <row r="41" spans="1:9" x14ac:dyDescent="0.25">
      <c r="A41" s="3">
        <v>1040</v>
      </c>
      <c r="B41" s="6">
        <v>45332</v>
      </c>
      <c r="C41" s="3" t="s">
        <v>12</v>
      </c>
      <c r="D41" s="3" t="s">
        <v>11</v>
      </c>
      <c r="E41" s="3" t="s">
        <v>10</v>
      </c>
      <c r="F41" s="3">
        <v>4</v>
      </c>
      <c r="G41" s="5">
        <v>250000</v>
      </c>
      <c r="H41" s="3">
        <f t="shared" si="1"/>
        <v>1000000</v>
      </c>
      <c r="I41" s="3" t="str">
        <f>IF(Table4[[#This Row],[Total_Sales]]&gt;=200000,"High","Low")</f>
        <v>High</v>
      </c>
    </row>
    <row r="42" spans="1:9" x14ac:dyDescent="0.25">
      <c r="A42" s="3">
        <v>1041</v>
      </c>
      <c r="B42" s="6">
        <v>45333</v>
      </c>
      <c r="C42" s="3" t="s">
        <v>9</v>
      </c>
      <c r="D42" s="3" t="s">
        <v>8</v>
      </c>
      <c r="E42" s="3" t="s">
        <v>7</v>
      </c>
      <c r="F42" s="3">
        <v>2</v>
      </c>
      <c r="G42" s="5">
        <v>55000</v>
      </c>
      <c r="H42" s="3">
        <f t="shared" si="1"/>
        <v>110000</v>
      </c>
      <c r="I42" s="3" t="str">
        <f>IF(Table4[[#This Row],[Total_Sales]]&gt;=200000,"High","Low")</f>
        <v>Low</v>
      </c>
    </row>
    <row r="43" spans="1:9" x14ac:dyDescent="0.25">
      <c r="A43" s="3">
        <v>1042</v>
      </c>
      <c r="B43" s="6">
        <v>45333</v>
      </c>
      <c r="C43" s="3" t="s">
        <v>20</v>
      </c>
      <c r="D43" s="3" t="s">
        <v>6</v>
      </c>
      <c r="E43" s="3" t="s">
        <v>15</v>
      </c>
      <c r="F43" s="3">
        <v>3</v>
      </c>
      <c r="G43" s="5">
        <v>75000</v>
      </c>
      <c r="H43" s="3">
        <f t="shared" si="1"/>
        <v>225000</v>
      </c>
      <c r="I43" s="3" t="str">
        <f>IF(Table4[[#This Row],[Total_Sales]]&gt;=200000,"High","Low")</f>
        <v>High</v>
      </c>
    </row>
    <row r="44" spans="1:9" x14ac:dyDescent="0.25">
      <c r="A44" s="3">
        <v>1043</v>
      </c>
      <c r="B44" s="6">
        <v>45335</v>
      </c>
      <c r="C44" s="3" t="s">
        <v>14</v>
      </c>
      <c r="D44" s="3" t="s">
        <v>11</v>
      </c>
      <c r="E44" s="3" t="s">
        <v>19</v>
      </c>
      <c r="F44" s="3">
        <v>5</v>
      </c>
      <c r="G44" s="5">
        <v>85000</v>
      </c>
      <c r="H44" s="3">
        <f t="shared" si="1"/>
        <v>425000</v>
      </c>
      <c r="I44" s="3" t="str">
        <f>IF(Table4[[#This Row],[Total_Sales]]&gt;=200000,"High","Low")</f>
        <v>High</v>
      </c>
    </row>
    <row r="45" spans="1:9" x14ac:dyDescent="0.25">
      <c r="A45" s="3">
        <v>1044</v>
      </c>
      <c r="B45" s="6">
        <v>45336</v>
      </c>
      <c r="C45" s="3" t="s">
        <v>12</v>
      </c>
      <c r="D45" s="3" t="s">
        <v>6</v>
      </c>
      <c r="E45" s="3" t="s">
        <v>5</v>
      </c>
      <c r="F45" s="3">
        <v>2</v>
      </c>
      <c r="G45" s="5">
        <v>150000</v>
      </c>
      <c r="H45" s="3">
        <f t="shared" si="1"/>
        <v>300000</v>
      </c>
      <c r="I45" s="3" t="str">
        <f>IF(Table4[[#This Row],[Total_Sales]]&gt;=200000,"High","Low")</f>
        <v>High</v>
      </c>
    </row>
    <row r="46" spans="1:9" x14ac:dyDescent="0.25">
      <c r="A46" s="3">
        <v>1045</v>
      </c>
      <c r="B46" s="6">
        <v>45337</v>
      </c>
      <c r="C46" s="3" t="s">
        <v>9</v>
      </c>
      <c r="D46" s="3" t="s">
        <v>13</v>
      </c>
      <c r="E46" s="3" t="s">
        <v>18</v>
      </c>
      <c r="F46" s="3">
        <v>3</v>
      </c>
      <c r="G46" s="5">
        <v>250000</v>
      </c>
      <c r="H46" s="3">
        <f t="shared" si="1"/>
        <v>750000</v>
      </c>
      <c r="I46" s="3" t="str">
        <f>IF(Table4[[#This Row],[Total_Sales]]&gt;=200000,"High","Low")</f>
        <v>High</v>
      </c>
    </row>
    <row r="47" spans="1:9" x14ac:dyDescent="0.25">
      <c r="A47" s="3">
        <v>1046</v>
      </c>
      <c r="B47" s="6">
        <v>45338</v>
      </c>
      <c r="C47" s="3" t="s">
        <v>20</v>
      </c>
      <c r="D47" s="3" t="s">
        <v>8</v>
      </c>
      <c r="E47" s="3" t="s">
        <v>17</v>
      </c>
      <c r="F47" s="3">
        <v>4</v>
      </c>
      <c r="G47" s="5">
        <v>45000</v>
      </c>
      <c r="H47" s="3">
        <f t="shared" si="1"/>
        <v>180000</v>
      </c>
      <c r="I47" s="3" t="str">
        <f>IF(Table4[[#This Row],[Total_Sales]]&gt;=200000,"High","Low")</f>
        <v>Low</v>
      </c>
    </row>
    <row r="48" spans="1:9" x14ac:dyDescent="0.25">
      <c r="A48" s="3">
        <v>1047</v>
      </c>
      <c r="B48" s="6">
        <v>45339</v>
      </c>
      <c r="C48" s="3" t="s">
        <v>14</v>
      </c>
      <c r="D48" s="3" t="s">
        <v>11</v>
      </c>
      <c r="E48" s="3" t="s">
        <v>0</v>
      </c>
      <c r="F48" s="3">
        <v>1</v>
      </c>
      <c r="G48" s="5">
        <v>120000</v>
      </c>
      <c r="H48" s="3">
        <f t="shared" si="1"/>
        <v>120000</v>
      </c>
      <c r="I48" s="3" t="str">
        <f>IF(Table4[[#This Row],[Total_Sales]]&gt;=200000,"High","Low")</f>
        <v>Low</v>
      </c>
    </row>
    <row r="49" spans="1:9" x14ac:dyDescent="0.25">
      <c r="A49" s="3">
        <v>1048</v>
      </c>
      <c r="B49" s="6">
        <v>45340</v>
      </c>
      <c r="C49" s="3" t="s">
        <v>12</v>
      </c>
      <c r="D49" s="3" t="s">
        <v>6</v>
      </c>
      <c r="E49" s="3" t="s">
        <v>15</v>
      </c>
      <c r="F49" s="3">
        <v>2</v>
      </c>
      <c r="G49" s="5">
        <v>75000</v>
      </c>
      <c r="H49" s="3">
        <f t="shared" si="1"/>
        <v>150000</v>
      </c>
      <c r="I49" s="3" t="str">
        <f>IF(Table4[[#This Row],[Total_Sales]]&gt;=200000,"High","Low")</f>
        <v>Low</v>
      </c>
    </row>
    <row r="50" spans="1:9" x14ac:dyDescent="0.25">
      <c r="A50" s="3">
        <v>1049</v>
      </c>
      <c r="B50" s="6">
        <v>45341</v>
      </c>
      <c r="C50" s="3" t="s">
        <v>9</v>
      </c>
      <c r="D50" s="3" t="s">
        <v>11</v>
      </c>
      <c r="E50" s="3" t="s">
        <v>16</v>
      </c>
      <c r="F50" s="3">
        <v>2</v>
      </c>
      <c r="G50" s="5">
        <v>150000</v>
      </c>
      <c r="H50" s="3">
        <f t="shared" si="1"/>
        <v>300000</v>
      </c>
      <c r="I50" s="3" t="str">
        <f>IF(Table4[[#This Row],[Total_Sales]]&gt;=200000,"High","Low")</f>
        <v>High</v>
      </c>
    </row>
    <row r="51" spans="1:9" x14ac:dyDescent="0.25">
      <c r="A51" s="3">
        <v>1050</v>
      </c>
      <c r="B51" s="6">
        <v>45342</v>
      </c>
      <c r="C51" s="3" t="s">
        <v>20</v>
      </c>
      <c r="D51" s="3" t="s">
        <v>8</v>
      </c>
      <c r="E51" s="3" t="s">
        <v>7</v>
      </c>
      <c r="F51" s="3">
        <v>3</v>
      </c>
      <c r="G51" s="5">
        <v>55000</v>
      </c>
      <c r="H51" s="3">
        <f t="shared" si="1"/>
        <v>165000</v>
      </c>
      <c r="I51" s="3" t="str">
        <f>IF(Table4[[#This Row],[Total_Sales]]&gt;=200000,"High","Low")</f>
        <v>Low</v>
      </c>
    </row>
    <row r="52" spans="1:9" x14ac:dyDescent="0.25">
      <c r="A52" s="3">
        <v>1051</v>
      </c>
      <c r="B52" s="6">
        <v>45343</v>
      </c>
      <c r="C52" s="3" t="s">
        <v>14</v>
      </c>
      <c r="D52" s="3" t="s">
        <v>13</v>
      </c>
      <c r="E52" s="3" t="s">
        <v>18</v>
      </c>
      <c r="F52" s="3">
        <v>2</v>
      </c>
      <c r="G52" s="5">
        <v>250000</v>
      </c>
      <c r="H52" s="3">
        <f t="shared" si="1"/>
        <v>500000</v>
      </c>
      <c r="I52" s="3" t="str">
        <f>IF(Table4[[#This Row],[Total_Sales]]&gt;=200000,"High","Low")</f>
        <v>High</v>
      </c>
    </row>
    <row r="53" spans="1:9" x14ac:dyDescent="0.25">
      <c r="A53" s="3">
        <v>1052</v>
      </c>
      <c r="B53" s="6">
        <v>45343</v>
      </c>
      <c r="C53" s="3" t="s">
        <v>12</v>
      </c>
      <c r="D53" s="3" t="s">
        <v>11</v>
      </c>
      <c r="E53" s="3" t="s">
        <v>19</v>
      </c>
      <c r="F53" s="3">
        <v>4</v>
      </c>
      <c r="G53" s="5">
        <v>85000</v>
      </c>
      <c r="H53" s="3">
        <f t="shared" si="1"/>
        <v>340000</v>
      </c>
      <c r="I53" s="3" t="str">
        <f>IF(Table4[[#This Row],[Total_Sales]]&gt;=200000,"High","Low")</f>
        <v>High</v>
      </c>
    </row>
    <row r="54" spans="1:9" x14ac:dyDescent="0.25">
      <c r="A54" s="3">
        <v>1053</v>
      </c>
      <c r="B54" s="6">
        <v>45345</v>
      </c>
      <c r="C54" s="3" t="s">
        <v>9</v>
      </c>
      <c r="D54" s="3" t="s">
        <v>6</v>
      </c>
      <c r="E54" s="3" t="s">
        <v>5</v>
      </c>
      <c r="F54" s="3">
        <v>1</v>
      </c>
      <c r="G54" s="5">
        <v>150000</v>
      </c>
      <c r="H54" s="3">
        <f t="shared" si="1"/>
        <v>150000</v>
      </c>
      <c r="I54" s="3" t="str">
        <f>IF(Table4[[#This Row],[Total_Sales]]&gt;=200000,"High","Low")</f>
        <v>Low</v>
      </c>
    </row>
    <row r="55" spans="1:9" x14ac:dyDescent="0.25">
      <c r="A55" s="3">
        <v>1054</v>
      </c>
      <c r="B55" s="6">
        <v>45346</v>
      </c>
      <c r="C55" s="3" t="s">
        <v>20</v>
      </c>
      <c r="D55" s="3" t="s">
        <v>8</v>
      </c>
      <c r="E55" s="3" t="s">
        <v>17</v>
      </c>
      <c r="F55" s="3">
        <v>5</v>
      </c>
      <c r="G55" s="5">
        <v>45000</v>
      </c>
      <c r="H55" s="3">
        <f t="shared" si="1"/>
        <v>225000</v>
      </c>
      <c r="I55" s="3" t="str">
        <f>IF(Table4[[#This Row],[Total_Sales]]&gt;=200000,"High","Low")</f>
        <v>High</v>
      </c>
    </row>
    <row r="56" spans="1:9" x14ac:dyDescent="0.25">
      <c r="A56" s="3">
        <v>1055</v>
      </c>
      <c r="B56" s="6">
        <v>45347</v>
      </c>
      <c r="C56" s="3" t="s">
        <v>14</v>
      </c>
      <c r="D56" s="3" t="s">
        <v>11</v>
      </c>
      <c r="E56" s="3" t="s">
        <v>10</v>
      </c>
      <c r="F56" s="3">
        <v>2</v>
      </c>
      <c r="G56" s="5">
        <v>250000</v>
      </c>
      <c r="H56" s="3">
        <f t="shared" si="1"/>
        <v>500000</v>
      </c>
      <c r="I56" s="3" t="str">
        <f>IF(Table4[[#This Row],[Total_Sales]]&gt;=200000,"High","Low")</f>
        <v>High</v>
      </c>
    </row>
    <row r="57" spans="1:9" x14ac:dyDescent="0.25">
      <c r="A57" s="3">
        <v>1056</v>
      </c>
      <c r="B57" s="6">
        <v>45348</v>
      </c>
      <c r="C57" s="3" t="s">
        <v>12</v>
      </c>
      <c r="D57" s="3" t="s">
        <v>6</v>
      </c>
      <c r="E57" s="3" t="s">
        <v>15</v>
      </c>
      <c r="F57" s="3">
        <v>3</v>
      </c>
      <c r="G57" s="5">
        <v>75000</v>
      </c>
      <c r="H57" s="3">
        <f t="shared" si="1"/>
        <v>225000</v>
      </c>
      <c r="I57" s="3" t="str">
        <f>IF(Table4[[#This Row],[Total_Sales]]&gt;=200000,"High","Low")</f>
        <v>High</v>
      </c>
    </row>
    <row r="58" spans="1:9" x14ac:dyDescent="0.25">
      <c r="A58" s="3">
        <v>1057</v>
      </c>
      <c r="B58" s="6">
        <v>45349</v>
      </c>
      <c r="C58" s="3" t="s">
        <v>9</v>
      </c>
      <c r="D58" s="3" t="s">
        <v>13</v>
      </c>
      <c r="E58" s="3" t="s">
        <v>18</v>
      </c>
      <c r="F58" s="3">
        <v>4</v>
      </c>
      <c r="G58" s="5">
        <v>250000</v>
      </c>
      <c r="H58" s="3">
        <f t="shared" si="1"/>
        <v>1000000</v>
      </c>
      <c r="I58" s="3" t="str">
        <f>IF(Table4[[#This Row],[Total_Sales]]&gt;=200000,"High","Low")</f>
        <v>High</v>
      </c>
    </row>
    <row r="59" spans="1:9" x14ac:dyDescent="0.25">
      <c r="A59" s="3">
        <v>1058</v>
      </c>
      <c r="B59" s="6">
        <v>45350</v>
      </c>
      <c r="C59" s="3" t="s">
        <v>20</v>
      </c>
      <c r="D59" s="3" t="s">
        <v>11</v>
      </c>
      <c r="E59" s="3" t="s">
        <v>0</v>
      </c>
      <c r="F59" s="3">
        <v>2</v>
      </c>
      <c r="G59" s="5">
        <v>120000</v>
      </c>
      <c r="H59" s="3">
        <f t="shared" si="1"/>
        <v>240000</v>
      </c>
      <c r="I59" s="3" t="str">
        <f>IF(Table4[[#This Row],[Total_Sales]]&gt;=200000,"High","Low")</f>
        <v>High</v>
      </c>
    </row>
    <row r="60" spans="1:9" x14ac:dyDescent="0.25">
      <c r="A60" s="3">
        <v>1059</v>
      </c>
      <c r="B60" s="6">
        <v>45351</v>
      </c>
      <c r="C60" s="3" t="s">
        <v>14</v>
      </c>
      <c r="D60" s="3" t="s">
        <v>8</v>
      </c>
      <c r="E60" s="3" t="s">
        <v>7</v>
      </c>
      <c r="F60" s="3">
        <v>3</v>
      </c>
      <c r="G60" s="5">
        <v>55000</v>
      </c>
      <c r="H60" s="3">
        <f t="shared" si="1"/>
        <v>165000</v>
      </c>
      <c r="I60" s="3" t="str">
        <f>IF(Table4[[#This Row],[Total_Sales]]&gt;=200000,"High","Low")</f>
        <v>Low</v>
      </c>
    </row>
    <row r="61" spans="1:9" x14ac:dyDescent="0.25">
      <c r="A61" s="3">
        <v>1060</v>
      </c>
      <c r="B61" s="6">
        <v>45352</v>
      </c>
      <c r="C61" s="3" t="s">
        <v>12</v>
      </c>
      <c r="D61" s="3" t="s">
        <v>6</v>
      </c>
      <c r="E61" s="3" t="s">
        <v>15</v>
      </c>
      <c r="F61" s="3">
        <v>5</v>
      </c>
      <c r="G61" s="5">
        <v>75000</v>
      </c>
      <c r="H61" s="3">
        <f t="shared" si="1"/>
        <v>375000</v>
      </c>
      <c r="I61" s="3" t="str">
        <f>IF(Table4[[#This Row],[Total_Sales]]&gt;=200000,"High","Low")</f>
        <v>High</v>
      </c>
    </row>
    <row r="62" spans="1:9" x14ac:dyDescent="0.25">
      <c r="A62" s="3">
        <v>1061</v>
      </c>
      <c r="B62" s="6">
        <v>45352</v>
      </c>
      <c r="C62" s="3" t="s">
        <v>9</v>
      </c>
      <c r="D62" s="3" t="s">
        <v>11</v>
      </c>
      <c r="E62" s="3" t="s">
        <v>19</v>
      </c>
      <c r="F62" s="3">
        <v>2</v>
      </c>
      <c r="G62" s="5">
        <v>85000</v>
      </c>
      <c r="H62" s="3">
        <f t="shared" si="1"/>
        <v>170000</v>
      </c>
      <c r="I62" s="3" t="str">
        <f>IF(Table4[[#This Row],[Total_Sales]]&gt;=200000,"High","Low")</f>
        <v>Low</v>
      </c>
    </row>
    <row r="63" spans="1:9" x14ac:dyDescent="0.25">
      <c r="A63" s="3">
        <v>1062</v>
      </c>
      <c r="B63" s="6">
        <v>45354</v>
      </c>
      <c r="C63" s="3" t="s">
        <v>20</v>
      </c>
      <c r="D63" s="3" t="s">
        <v>13</v>
      </c>
      <c r="E63" s="3" t="s">
        <v>18</v>
      </c>
      <c r="F63" s="3">
        <v>1</v>
      </c>
      <c r="G63" s="5">
        <v>250000</v>
      </c>
      <c r="H63" s="3">
        <f t="shared" si="1"/>
        <v>250000</v>
      </c>
      <c r="I63" s="3" t="str">
        <f>IF(Table4[[#This Row],[Total_Sales]]&gt;=200000,"High","Low")</f>
        <v>High</v>
      </c>
    </row>
    <row r="64" spans="1:9" x14ac:dyDescent="0.25">
      <c r="A64" s="3">
        <v>1063</v>
      </c>
      <c r="B64" s="6">
        <v>45355</v>
      </c>
      <c r="C64" s="3" t="s">
        <v>14</v>
      </c>
      <c r="D64" s="3" t="s">
        <v>6</v>
      </c>
      <c r="E64" s="3" t="s">
        <v>5</v>
      </c>
      <c r="F64" s="3">
        <v>2</v>
      </c>
      <c r="G64" s="5">
        <v>150000</v>
      </c>
      <c r="H64" s="3">
        <f t="shared" si="1"/>
        <v>300000</v>
      </c>
      <c r="I64" s="3" t="str">
        <f>IF(Table4[[#This Row],[Total_Sales]]&gt;=200000,"High","Low")</f>
        <v>High</v>
      </c>
    </row>
    <row r="65" spans="1:9" x14ac:dyDescent="0.25">
      <c r="A65" s="3">
        <v>1064</v>
      </c>
      <c r="B65" s="6">
        <v>45356</v>
      </c>
      <c r="C65" s="3" t="s">
        <v>12</v>
      </c>
      <c r="D65" s="3" t="s">
        <v>8</v>
      </c>
      <c r="E65" s="3" t="s">
        <v>17</v>
      </c>
      <c r="F65" s="3">
        <v>4</v>
      </c>
      <c r="G65" s="5">
        <v>45000</v>
      </c>
      <c r="H65" s="3">
        <f t="shared" si="1"/>
        <v>180000</v>
      </c>
      <c r="I65" s="3" t="str">
        <f>IF(Table4[[#This Row],[Total_Sales]]&gt;=200000,"High","Low")</f>
        <v>Low</v>
      </c>
    </row>
    <row r="66" spans="1:9" x14ac:dyDescent="0.25">
      <c r="A66" s="3">
        <v>1065</v>
      </c>
      <c r="B66" s="6">
        <v>45357</v>
      </c>
      <c r="C66" s="3" t="s">
        <v>9</v>
      </c>
      <c r="D66" s="3" t="s">
        <v>11</v>
      </c>
      <c r="E66" s="3" t="s">
        <v>16</v>
      </c>
      <c r="F66" s="3">
        <v>3</v>
      </c>
      <c r="G66" s="5">
        <v>150000</v>
      </c>
      <c r="H66" s="3">
        <f t="shared" ref="H66:H71" si="2">F66*G66</f>
        <v>450000</v>
      </c>
      <c r="I66" s="3" t="str">
        <f>IF(Table4[[#This Row],[Total_Sales]]&gt;=200000,"High","Low")</f>
        <v>High</v>
      </c>
    </row>
    <row r="67" spans="1:9" x14ac:dyDescent="0.25">
      <c r="A67" s="3">
        <v>1066</v>
      </c>
      <c r="B67" s="6">
        <v>45358</v>
      </c>
      <c r="C67" s="3" t="s">
        <v>20</v>
      </c>
      <c r="D67" s="3" t="s">
        <v>6</v>
      </c>
      <c r="E67" s="3" t="s">
        <v>15</v>
      </c>
      <c r="F67" s="3">
        <v>2</v>
      </c>
      <c r="G67" s="5">
        <v>75000</v>
      </c>
      <c r="H67" s="3">
        <f t="shared" si="2"/>
        <v>150000</v>
      </c>
      <c r="I67" s="3" t="str">
        <f>IF(Table4[[#This Row],[Total_Sales]]&gt;=200000,"High","Low")</f>
        <v>Low</v>
      </c>
    </row>
    <row r="68" spans="1:9" x14ac:dyDescent="0.25">
      <c r="A68" s="3">
        <v>1067</v>
      </c>
      <c r="B68" s="6">
        <v>45359</v>
      </c>
      <c r="C68" s="3" t="s">
        <v>14</v>
      </c>
      <c r="D68" s="3" t="s">
        <v>13</v>
      </c>
      <c r="E68" s="3" t="s">
        <v>18</v>
      </c>
      <c r="F68" s="3">
        <v>3</v>
      </c>
      <c r="G68" s="5">
        <v>250000</v>
      </c>
      <c r="H68" s="3">
        <f t="shared" si="2"/>
        <v>750000</v>
      </c>
      <c r="I68" s="3" t="str">
        <f>IF(Table4[[#This Row],[Total_Sales]]&gt;=200000,"High","Low")</f>
        <v>High</v>
      </c>
    </row>
    <row r="69" spans="1:9" x14ac:dyDescent="0.25">
      <c r="A69" s="3">
        <v>1068</v>
      </c>
      <c r="B69" s="6">
        <v>45359</v>
      </c>
      <c r="C69" s="3" t="s">
        <v>12</v>
      </c>
      <c r="D69" s="3" t="s">
        <v>11</v>
      </c>
      <c r="E69" s="3" t="s">
        <v>10</v>
      </c>
      <c r="F69" s="3">
        <v>1</v>
      </c>
      <c r="G69" s="5">
        <v>250000</v>
      </c>
      <c r="H69" s="3">
        <f t="shared" si="2"/>
        <v>250000</v>
      </c>
      <c r="I69" s="3" t="str">
        <f>IF(Table4[[#This Row],[Total_Sales]]&gt;=200000,"High","Low")</f>
        <v>High</v>
      </c>
    </row>
    <row r="70" spans="1:9" x14ac:dyDescent="0.25">
      <c r="A70" s="3">
        <v>1069</v>
      </c>
      <c r="B70" s="6">
        <v>45361</v>
      </c>
      <c r="C70" s="3" t="s">
        <v>9</v>
      </c>
      <c r="D70" s="3" t="s">
        <v>8</v>
      </c>
      <c r="E70" s="3" t="s">
        <v>7</v>
      </c>
      <c r="F70" s="3">
        <v>2</v>
      </c>
      <c r="G70" s="5">
        <v>55000</v>
      </c>
      <c r="H70" s="3">
        <f t="shared" si="2"/>
        <v>110000</v>
      </c>
      <c r="I70" s="3" t="str">
        <f>IF(Table4[[#This Row],[Total_Sales]]&gt;=200000,"High","Low")</f>
        <v>Low</v>
      </c>
    </row>
    <row r="71" spans="1:9" x14ac:dyDescent="0.25">
      <c r="A71" s="3">
        <v>1070</v>
      </c>
      <c r="B71" s="6">
        <v>45362</v>
      </c>
      <c r="C71" s="3" t="s">
        <v>20</v>
      </c>
      <c r="D71" s="3" t="s">
        <v>6</v>
      </c>
      <c r="E71" s="3" t="s">
        <v>5</v>
      </c>
      <c r="F71" s="3">
        <v>1</v>
      </c>
      <c r="G71" s="5">
        <v>150000</v>
      </c>
      <c r="H71" s="3">
        <f t="shared" si="2"/>
        <v>150000</v>
      </c>
      <c r="I71" s="3" t="str">
        <f>IF(Table4[[#This Row],[Total_Sales]]&gt;=200000,"High","Low")</f>
        <v>Low</v>
      </c>
    </row>
    <row r="72" spans="1:9" x14ac:dyDescent="0.25">
      <c r="A72" s="3">
        <v>1071</v>
      </c>
      <c r="B72" s="6">
        <v>45363</v>
      </c>
      <c r="C72" s="3" t="s">
        <v>20</v>
      </c>
      <c r="D72" s="3" t="s">
        <v>6</v>
      </c>
      <c r="E72" s="3" t="s">
        <v>15</v>
      </c>
      <c r="F72" s="3">
        <v>3</v>
      </c>
      <c r="G72" s="5">
        <v>75000</v>
      </c>
      <c r="H72" s="16">
        <f>F72*G72</f>
        <v>225000</v>
      </c>
      <c r="I72" s="3" t="str">
        <f>IF(Table4[[#This Row],[Total_Sales]]&gt;=200000,"High","Low")</f>
        <v>High</v>
      </c>
    </row>
    <row r="73" spans="1:9" x14ac:dyDescent="0.25">
      <c r="A73" s="3">
        <v>1072</v>
      </c>
      <c r="B73" s="6">
        <v>45364</v>
      </c>
      <c r="C73" s="3" t="s">
        <v>20</v>
      </c>
      <c r="D73" s="3" t="s">
        <v>6</v>
      </c>
      <c r="E73" s="3" t="s">
        <v>15</v>
      </c>
      <c r="F73" s="3">
        <v>5</v>
      </c>
      <c r="G73" s="5">
        <v>75000</v>
      </c>
      <c r="H73" s="16">
        <f t="shared" ref="H73:H131" si="3">F73*G73</f>
        <v>375000</v>
      </c>
      <c r="I73" s="3" t="str">
        <f>IF(Table4[[#This Row],[Total_Sales]]&gt;=200000,"High","Low")</f>
        <v>High</v>
      </c>
    </row>
    <row r="74" spans="1:9" x14ac:dyDescent="0.25">
      <c r="A74" s="3">
        <v>1073</v>
      </c>
      <c r="B74" s="6">
        <v>45365</v>
      </c>
      <c r="C74" s="3" t="s">
        <v>20</v>
      </c>
      <c r="D74" s="3" t="s">
        <v>6</v>
      </c>
      <c r="E74" s="3" t="s">
        <v>51</v>
      </c>
      <c r="F74" s="3">
        <v>2</v>
      </c>
      <c r="G74" s="5">
        <v>180000</v>
      </c>
      <c r="H74" s="16">
        <f t="shared" si="3"/>
        <v>360000</v>
      </c>
      <c r="I74" s="3" t="str">
        <f>IF(Table4[[#This Row],[Total_Sales]]&gt;=200000,"High","Low")</f>
        <v>High</v>
      </c>
    </row>
    <row r="75" spans="1:9" x14ac:dyDescent="0.25">
      <c r="A75" s="3">
        <v>1074</v>
      </c>
      <c r="B75" s="6">
        <v>45366</v>
      </c>
      <c r="C75" s="3" t="s">
        <v>20</v>
      </c>
      <c r="D75" s="3" t="s">
        <v>6</v>
      </c>
      <c r="E75" s="3" t="s">
        <v>51</v>
      </c>
      <c r="F75" s="3">
        <v>4</v>
      </c>
      <c r="G75" s="5">
        <v>180000</v>
      </c>
      <c r="H75" s="16">
        <f t="shared" si="3"/>
        <v>720000</v>
      </c>
      <c r="I75" s="3" t="str">
        <f>IF(Table4[[#This Row],[Total_Sales]]&gt;=200000,"High","Low")</f>
        <v>High</v>
      </c>
    </row>
    <row r="76" spans="1:9" x14ac:dyDescent="0.25">
      <c r="A76" s="3">
        <v>1075</v>
      </c>
      <c r="B76" s="6">
        <v>45367</v>
      </c>
      <c r="C76" s="3" t="s">
        <v>20</v>
      </c>
      <c r="D76" s="3" t="s">
        <v>6</v>
      </c>
      <c r="E76" s="3" t="s">
        <v>5</v>
      </c>
      <c r="F76" s="3">
        <v>1</v>
      </c>
      <c r="G76" s="5">
        <v>150000</v>
      </c>
      <c r="H76" s="16">
        <f t="shared" si="3"/>
        <v>150000</v>
      </c>
      <c r="I76" s="3" t="str">
        <f>IF(Table4[[#This Row],[Total_Sales]]&gt;=200000,"High","Low")</f>
        <v>Low</v>
      </c>
    </row>
    <row r="77" spans="1:9" x14ac:dyDescent="0.25">
      <c r="A77" s="3">
        <v>1076</v>
      </c>
      <c r="B77" s="6">
        <v>45368</v>
      </c>
      <c r="C77" s="3" t="s">
        <v>20</v>
      </c>
      <c r="D77" s="3" t="s">
        <v>8</v>
      </c>
      <c r="E77" s="3" t="s">
        <v>17</v>
      </c>
      <c r="F77" s="3">
        <v>3</v>
      </c>
      <c r="G77" s="5">
        <v>45000</v>
      </c>
      <c r="H77" s="16">
        <f t="shared" si="3"/>
        <v>135000</v>
      </c>
      <c r="I77" s="3" t="str">
        <f>IF(Table4[[#This Row],[Total_Sales]]&gt;=200000,"High","Low")</f>
        <v>Low</v>
      </c>
    </row>
    <row r="78" spans="1:9" x14ac:dyDescent="0.25">
      <c r="A78" s="3">
        <v>1077</v>
      </c>
      <c r="B78" s="6">
        <v>45369</v>
      </c>
      <c r="C78" s="3" t="s">
        <v>20</v>
      </c>
      <c r="D78" s="3" t="s">
        <v>8</v>
      </c>
      <c r="E78" s="3" t="s">
        <v>7</v>
      </c>
      <c r="F78" s="3">
        <v>2</v>
      </c>
      <c r="G78" s="5">
        <v>55000</v>
      </c>
      <c r="H78" s="16">
        <f t="shared" si="3"/>
        <v>110000</v>
      </c>
      <c r="I78" s="3" t="str">
        <f>IF(Table4[[#This Row],[Total_Sales]]&gt;=200000,"High","Low")</f>
        <v>Low</v>
      </c>
    </row>
    <row r="79" spans="1:9" x14ac:dyDescent="0.25">
      <c r="A79" s="3">
        <v>1078</v>
      </c>
      <c r="B79" s="6">
        <v>45370</v>
      </c>
      <c r="C79" s="3" t="s">
        <v>20</v>
      </c>
      <c r="D79" s="3" t="s">
        <v>11</v>
      </c>
      <c r="E79" s="3" t="s">
        <v>19</v>
      </c>
      <c r="F79" s="3">
        <v>4</v>
      </c>
      <c r="G79" s="5">
        <v>85000</v>
      </c>
      <c r="H79" s="16">
        <f t="shared" si="3"/>
        <v>340000</v>
      </c>
      <c r="I79" s="3" t="str">
        <f>IF(Table4[[#This Row],[Total_Sales]]&gt;=200000,"High","Low")</f>
        <v>High</v>
      </c>
    </row>
    <row r="80" spans="1:9" x14ac:dyDescent="0.25">
      <c r="A80" s="3">
        <v>1079</v>
      </c>
      <c r="B80" s="6">
        <v>45371</v>
      </c>
      <c r="C80" s="3" t="s">
        <v>20</v>
      </c>
      <c r="D80" s="3" t="s">
        <v>11</v>
      </c>
      <c r="E80" s="3" t="s">
        <v>16</v>
      </c>
      <c r="F80" s="3">
        <v>2</v>
      </c>
      <c r="G80" s="5">
        <v>150000</v>
      </c>
      <c r="H80" s="16">
        <f t="shared" si="3"/>
        <v>300000</v>
      </c>
      <c r="I80" s="3" t="str">
        <f>IF(Table4[[#This Row],[Total_Sales]]&gt;=200000,"High","Low")</f>
        <v>High</v>
      </c>
    </row>
    <row r="81" spans="1:9" x14ac:dyDescent="0.25">
      <c r="A81" s="3">
        <v>1080</v>
      </c>
      <c r="B81" s="6">
        <v>45372</v>
      </c>
      <c r="C81" s="3" t="s">
        <v>20</v>
      </c>
      <c r="D81" s="3" t="s">
        <v>11</v>
      </c>
      <c r="E81" s="3" t="s">
        <v>10</v>
      </c>
      <c r="F81" s="3">
        <v>1</v>
      </c>
      <c r="G81" s="5">
        <v>250000</v>
      </c>
      <c r="H81" s="16">
        <f t="shared" si="3"/>
        <v>250000</v>
      </c>
      <c r="I81" s="3" t="str">
        <f>IF(Table4[[#This Row],[Total_Sales]]&gt;=200000,"High","Low")</f>
        <v>High</v>
      </c>
    </row>
    <row r="82" spans="1:9" x14ac:dyDescent="0.25">
      <c r="A82" s="3">
        <v>1081</v>
      </c>
      <c r="B82" s="6">
        <v>45373</v>
      </c>
      <c r="C82" s="3" t="s">
        <v>20</v>
      </c>
      <c r="D82" s="3" t="s">
        <v>13</v>
      </c>
      <c r="E82" s="3" t="s">
        <v>18</v>
      </c>
      <c r="F82" s="3">
        <v>2</v>
      </c>
      <c r="G82" s="5">
        <v>250000</v>
      </c>
      <c r="H82" s="16">
        <f t="shared" si="3"/>
        <v>500000</v>
      </c>
      <c r="I82" s="3" t="str">
        <f>IF(Table4[[#This Row],[Total_Sales]]&gt;=200000,"High","Low")</f>
        <v>High</v>
      </c>
    </row>
    <row r="83" spans="1:9" x14ac:dyDescent="0.25">
      <c r="A83" s="3">
        <v>1082</v>
      </c>
      <c r="B83" s="6">
        <v>45374</v>
      </c>
      <c r="C83" s="3" t="s">
        <v>20</v>
      </c>
      <c r="D83" s="3" t="s">
        <v>13</v>
      </c>
      <c r="E83" s="3" t="s">
        <v>52</v>
      </c>
      <c r="F83" s="3">
        <v>3</v>
      </c>
      <c r="G83" s="5">
        <v>120000</v>
      </c>
      <c r="H83" s="16">
        <f t="shared" si="3"/>
        <v>360000</v>
      </c>
      <c r="I83" s="3" t="str">
        <f>IF(Table4[[#This Row],[Total_Sales]]&gt;=200000,"High","Low")</f>
        <v>High</v>
      </c>
    </row>
    <row r="84" spans="1:9" x14ac:dyDescent="0.25">
      <c r="A84" s="3">
        <v>1083</v>
      </c>
      <c r="B84" s="6">
        <v>45375</v>
      </c>
      <c r="C84" s="3" t="s">
        <v>9</v>
      </c>
      <c r="D84" s="3" t="s">
        <v>6</v>
      </c>
      <c r="E84" s="3" t="s">
        <v>15</v>
      </c>
      <c r="F84" s="3">
        <v>4</v>
      </c>
      <c r="G84" s="5">
        <v>75000</v>
      </c>
      <c r="H84" s="16">
        <f t="shared" si="3"/>
        <v>300000</v>
      </c>
      <c r="I84" s="3" t="str">
        <f>IF(Table4[[#This Row],[Total_Sales]]&gt;=200000,"High","Low")</f>
        <v>High</v>
      </c>
    </row>
    <row r="85" spans="1:9" x14ac:dyDescent="0.25">
      <c r="A85" s="3">
        <v>1084</v>
      </c>
      <c r="B85" s="6">
        <v>45376</v>
      </c>
      <c r="C85" s="3" t="s">
        <v>9</v>
      </c>
      <c r="D85" s="3" t="s">
        <v>6</v>
      </c>
      <c r="E85" s="3" t="s">
        <v>15</v>
      </c>
      <c r="F85" s="3">
        <v>5</v>
      </c>
      <c r="G85" s="5">
        <v>75000</v>
      </c>
      <c r="H85" s="16">
        <f t="shared" si="3"/>
        <v>375000</v>
      </c>
      <c r="I85" s="3" t="str">
        <f>IF(Table4[[#This Row],[Total_Sales]]&gt;=200000,"High","Low")</f>
        <v>High</v>
      </c>
    </row>
    <row r="86" spans="1:9" x14ac:dyDescent="0.25">
      <c r="A86" s="3">
        <v>1085</v>
      </c>
      <c r="B86" s="6">
        <v>45377</v>
      </c>
      <c r="C86" s="3" t="s">
        <v>9</v>
      </c>
      <c r="D86" s="3" t="s">
        <v>6</v>
      </c>
      <c r="E86" s="3" t="s">
        <v>5</v>
      </c>
      <c r="F86" s="3">
        <v>2</v>
      </c>
      <c r="G86" s="5">
        <v>150000</v>
      </c>
      <c r="H86" s="16">
        <f t="shared" si="3"/>
        <v>300000</v>
      </c>
      <c r="I86" s="3" t="str">
        <f>IF(Table4[[#This Row],[Total_Sales]]&gt;=200000,"High","Low")</f>
        <v>High</v>
      </c>
    </row>
    <row r="87" spans="1:9" x14ac:dyDescent="0.25">
      <c r="A87" s="3">
        <v>1086</v>
      </c>
      <c r="B87" s="6">
        <v>45378</v>
      </c>
      <c r="C87" s="3" t="s">
        <v>9</v>
      </c>
      <c r="D87" s="3" t="s">
        <v>6</v>
      </c>
      <c r="E87" s="3" t="s">
        <v>51</v>
      </c>
      <c r="F87" s="3">
        <v>3</v>
      </c>
      <c r="G87" s="5">
        <v>180000</v>
      </c>
      <c r="H87" s="16">
        <f t="shared" si="3"/>
        <v>540000</v>
      </c>
      <c r="I87" s="3" t="str">
        <f>IF(Table4[[#This Row],[Total_Sales]]&gt;=200000,"High","Low")</f>
        <v>High</v>
      </c>
    </row>
    <row r="88" spans="1:9" x14ac:dyDescent="0.25">
      <c r="A88" s="3">
        <v>1087</v>
      </c>
      <c r="B88" s="6">
        <v>45379</v>
      </c>
      <c r="C88" s="3" t="s">
        <v>9</v>
      </c>
      <c r="D88" s="3" t="s">
        <v>8</v>
      </c>
      <c r="E88" s="3" t="s">
        <v>17</v>
      </c>
      <c r="F88" s="3">
        <v>2</v>
      </c>
      <c r="G88" s="5">
        <v>45000</v>
      </c>
      <c r="H88" s="16">
        <f t="shared" si="3"/>
        <v>90000</v>
      </c>
      <c r="I88" s="3" t="str">
        <f>IF(Table4[[#This Row],[Total_Sales]]&gt;=200000,"High","Low")</f>
        <v>Low</v>
      </c>
    </row>
    <row r="89" spans="1:9" x14ac:dyDescent="0.25">
      <c r="A89" s="3">
        <v>1088</v>
      </c>
      <c r="B89" s="6">
        <v>45380</v>
      </c>
      <c r="C89" s="3" t="s">
        <v>9</v>
      </c>
      <c r="D89" s="3" t="s">
        <v>8</v>
      </c>
      <c r="E89" s="3" t="s">
        <v>7</v>
      </c>
      <c r="F89" s="3">
        <v>3</v>
      </c>
      <c r="G89" s="5">
        <v>55000</v>
      </c>
      <c r="H89" s="16">
        <f t="shared" si="3"/>
        <v>165000</v>
      </c>
      <c r="I89" s="3" t="str">
        <f>IF(Table4[[#This Row],[Total_Sales]]&gt;=200000,"High","Low")</f>
        <v>Low</v>
      </c>
    </row>
    <row r="90" spans="1:9" x14ac:dyDescent="0.25">
      <c r="A90" s="3">
        <v>1089</v>
      </c>
      <c r="B90" s="6">
        <v>45381</v>
      </c>
      <c r="C90" s="3" t="s">
        <v>9</v>
      </c>
      <c r="D90" s="3" t="s">
        <v>11</v>
      </c>
      <c r="E90" s="3" t="s">
        <v>19</v>
      </c>
      <c r="F90" s="3">
        <v>5</v>
      </c>
      <c r="G90" s="5">
        <v>85000</v>
      </c>
      <c r="H90" s="16">
        <f t="shared" si="3"/>
        <v>425000</v>
      </c>
      <c r="I90" s="3" t="str">
        <f>IF(Table4[[#This Row],[Total_Sales]]&gt;=200000,"High","Low")</f>
        <v>High</v>
      </c>
    </row>
    <row r="91" spans="1:9" x14ac:dyDescent="0.25">
      <c r="A91" s="3">
        <v>1090</v>
      </c>
      <c r="B91" s="6">
        <v>45382</v>
      </c>
      <c r="C91" s="3" t="s">
        <v>9</v>
      </c>
      <c r="D91" s="3" t="s">
        <v>11</v>
      </c>
      <c r="E91" s="3" t="s">
        <v>16</v>
      </c>
      <c r="F91" s="3">
        <v>2</v>
      </c>
      <c r="G91" s="5">
        <v>150000</v>
      </c>
      <c r="H91" s="16">
        <f t="shared" si="3"/>
        <v>300000</v>
      </c>
      <c r="I91" s="3" t="str">
        <f>IF(Table4[[#This Row],[Total_Sales]]&gt;=200000,"High","Low")</f>
        <v>High</v>
      </c>
    </row>
    <row r="92" spans="1:9" x14ac:dyDescent="0.25">
      <c r="A92" s="3">
        <v>1091</v>
      </c>
      <c r="B92" s="6">
        <v>45383</v>
      </c>
      <c r="C92" s="3" t="s">
        <v>9</v>
      </c>
      <c r="D92" s="3" t="s">
        <v>11</v>
      </c>
      <c r="E92" s="3" t="s">
        <v>10</v>
      </c>
      <c r="F92" s="3">
        <v>2</v>
      </c>
      <c r="G92" s="5">
        <v>250000</v>
      </c>
      <c r="H92" s="16">
        <f t="shared" si="3"/>
        <v>500000</v>
      </c>
      <c r="I92" s="3" t="str">
        <f>IF(Table4[[#This Row],[Total_Sales]]&gt;=200000,"High","Low")</f>
        <v>High</v>
      </c>
    </row>
    <row r="93" spans="1:9" x14ac:dyDescent="0.25">
      <c r="A93" s="3">
        <v>1092</v>
      </c>
      <c r="B93" s="6">
        <v>45384</v>
      </c>
      <c r="C93" s="3" t="s">
        <v>9</v>
      </c>
      <c r="D93" s="3" t="s">
        <v>13</v>
      </c>
      <c r="E93" s="3" t="s">
        <v>18</v>
      </c>
      <c r="F93" s="3">
        <v>3</v>
      </c>
      <c r="G93" s="5">
        <v>250000</v>
      </c>
      <c r="H93" s="16">
        <f t="shared" si="3"/>
        <v>750000</v>
      </c>
      <c r="I93" s="3" t="str">
        <f>IF(Table4[[#This Row],[Total_Sales]]&gt;=200000,"High","Low")</f>
        <v>High</v>
      </c>
    </row>
    <row r="94" spans="1:9" x14ac:dyDescent="0.25">
      <c r="A94" s="3">
        <v>1093</v>
      </c>
      <c r="B94" s="6">
        <v>45385</v>
      </c>
      <c r="C94" s="3" t="s">
        <v>9</v>
      </c>
      <c r="D94" s="3" t="s">
        <v>13</v>
      </c>
      <c r="E94" s="3" t="s">
        <v>52</v>
      </c>
      <c r="F94" s="3">
        <v>2</v>
      </c>
      <c r="G94" s="5">
        <v>120000</v>
      </c>
      <c r="H94" s="16">
        <f t="shared" si="3"/>
        <v>240000</v>
      </c>
      <c r="I94" s="3" t="str">
        <f>IF(Table4[[#This Row],[Total_Sales]]&gt;=200000,"High","Low")</f>
        <v>High</v>
      </c>
    </row>
    <row r="95" spans="1:9" x14ac:dyDescent="0.25">
      <c r="A95" s="3">
        <v>1094</v>
      </c>
      <c r="B95" s="6">
        <v>45386</v>
      </c>
      <c r="C95" s="3" t="s">
        <v>14</v>
      </c>
      <c r="D95" s="3" t="s">
        <v>6</v>
      </c>
      <c r="E95" s="3" t="s">
        <v>15</v>
      </c>
      <c r="F95" s="3">
        <v>4</v>
      </c>
      <c r="G95" s="5">
        <v>75000</v>
      </c>
      <c r="H95" s="16">
        <f t="shared" si="3"/>
        <v>300000</v>
      </c>
      <c r="I95" s="3" t="str">
        <f>IF(Table4[[#This Row],[Total_Sales]]&gt;=200000,"High","Low")</f>
        <v>High</v>
      </c>
    </row>
    <row r="96" spans="1:9" x14ac:dyDescent="0.25">
      <c r="A96" s="3">
        <v>1095</v>
      </c>
      <c r="B96" s="6">
        <v>45387</v>
      </c>
      <c r="C96" s="3" t="s">
        <v>14</v>
      </c>
      <c r="D96" s="3" t="s">
        <v>6</v>
      </c>
      <c r="E96" s="3" t="s">
        <v>5</v>
      </c>
      <c r="F96" s="3">
        <v>1</v>
      </c>
      <c r="G96" s="5">
        <v>150000</v>
      </c>
      <c r="H96" s="16">
        <f t="shared" si="3"/>
        <v>150000</v>
      </c>
      <c r="I96" s="3" t="str">
        <f>IF(Table4[[#This Row],[Total_Sales]]&gt;=200000,"High","Low")</f>
        <v>Low</v>
      </c>
    </row>
    <row r="97" spans="1:9" x14ac:dyDescent="0.25">
      <c r="A97" s="3">
        <v>1096</v>
      </c>
      <c r="B97" s="6">
        <v>45388</v>
      </c>
      <c r="C97" s="3" t="s">
        <v>14</v>
      </c>
      <c r="D97" s="3" t="s">
        <v>6</v>
      </c>
      <c r="E97" s="3" t="s">
        <v>51</v>
      </c>
      <c r="F97" s="3">
        <v>2</v>
      </c>
      <c r="G97" s="5">
        <v>180000</v>
      </c>
      <c r="H97" s="16">
        <f t="shared" si="3"/>
        <v>360000</v>
      </c>
      <c r="I97" s="3" t="str">
        <f>IF(Table4[[#This Row],[Total_Sales]]&gt;=200000,"High","Low")</f>
        <v>High</v>
      </c>
    </row>
    <row r="98" spans="1:9" x14ac:dyDescent="0.25">
      <c r="A98" s="3">
        <v>1097</v>
      </c>
      <c r="B98" s="6">
        <v>45389</v>
      </c>
      <c r="C98" s="3" t="s">
        <v>14</v>
      </c>
      <c r="D98" s="3" t="s">
        <v>8</v>
      </c>
      <c r="E98" s="3" t="s">
        <v>17</v>
      </c>
      <c r="F98" s="3">
        <v>3</v>
      </c>
      <c r="G98" s="5">
        <v>45000</v>
      </c>
      <c r="H98" s="16">
        <f t="shared" si="3"/>
        <v>135000</v>
      </c>
      <c r="I98" s="3" t="str">
        <f>IF(Table4[[#This Row],[Total_Sales]]&gt;=200000,"High","Low")</f>
        <v>Low</v>
      </c>
    </row>
    <row r="99" spans="1:9" x14ac:dyDescent="0.25">
      <c r="A99" s="3">
        <v>1098</v>
      </c>
      <c r="B99" s="6">
        <v>45390</v>
      </c>
      <c r="C99" s="3" t="s">
        <v>14</v>
      </c>
      <c r="D99" s="3" t="s">
        <v>8</v>
      </c>
      <c r="E99" s="3" t="s">
        <v>7</v>
      </c>
      <c r="F99" s="3">
        <v>2</v>
      </c>
      <c r="G99" s="5">
        <v>55000</v>
      </c>
      <c r="H99" s="16">
        <f t="shared" si="3"/>
        <v>110000</v>
      </c>
      <c r="I99" s="3" t="str">
        <f>IF(Table4[[#This Row],[Total_Sales]]&gt;=200000,"High","Low")</f>
        <v>Low</v>
      </c>
    </row>
    <row r="100" spans="1:9" x14ac:dyDescent="0.25">
      <c r="A100" s="3">
        <v>1099</v>
      </c>
      <c r="B100" s="6">
        <v>45391</v>
      </c>
      <c r="C100" s="3" t="s">
        <v>14</v>
      </c>
      <c r="D100" s="3" t="s">
        <v>11</v>
      </c>
      <c r="E100" s="3" t="s">
        <v>19</v>
      </c>
      <c r="F100" s="3">
        <v>4</v>
      </c>
      <c r="G100" s="5">
        <v>85000</v>
      </c>
      <c r="H100" s="16">
        <f t="shared" si="3"/>
        <v>340000</v>
      </c>
      <c r="I100" s="3" t="str">
        <f>IF(Table4[[#This Row],[Total_Sales]]&gt;=200000,"High","Low")</f>
        <v>High</v>
      </c>
    </row>
    <row r="101" spans="1:9" x14ac:dyDescent="0.25">
      <c r="A101" s="3">
        <v>1100</v>
      </c>
      <c r="B101" s="6">
        <v>45392</v>
      </c>
      <c r="C101" s="3" t="s">
        <v>14</v>
      </c>
      <c r="D101" s="3" t="s">
        <v>11</v>
      </c>
      <c r="E101" s="3" t="s">
        <v>16</v>
      </c>
      <c r="F101" s="3">
        <v>1</v>
      </c>
      <c r="G101" s="5">
        <v>150000</v>
      </c>
      <c r="H101" s="16">
        <f t="shared" si="3"/>
        <v>150000</v>
      </c>
      <c r="I101" s="3" t="str">
        <f>IF(Table4[[#This Row],[Total_Sales]]&gt;=200000,"High","Low")</f>
        <v>Low</v>
      </c>
    </row>
    <row r="102" spans="1:9" x14ac:dyDescent="0.25">
      <c r="A102" s="3">
        <v>1101</v>
      </c>
      <c r="B102" s="6">
        <v>45393</v>
      </c>
      <c r="C102" s="3" t="s">
        <v>14</v>
      </c>
      <c r="D102" s="3" t="s">
        <v>11</v>
      </c>
      <c r="E102" s="3" t="s">
        <v>10</v>
      </c>
      <c r="F102" s="3">
        <v>2</v>
      </c>
      <c r="G102" s="5">
        <v>250000</v>
      </c>
      <c r="H102" s="16">
        <f t="shared" si="3"/>
        <v>500000</v>
      </c>
      <c r="I102" s="3" t="str">
        <f>IF(Table4[[#This Row],[Total_Sales]]&gt;=200000,"High","Low")</f>
        <v>High</v>
      </c>
    </row>
    <row r="103" spans="1:9" x14ac:dyDescent="0.25">
      <c r="A103" s="3">
        <v>1102</v>
      </c>
      <c r="B103" s="6">
        <v>45394</v>
      </c>
      <c r="C103" s="3" t="s">
        <v>14</v>
      </c>
      <c r="D103" s="3" t="s">
        <v>13</v>
      </c>
      <c r="E103" s="3" t="s">
        <v>18</v>
      </c>
      <c r="F103" s="3">
        <v>2</v>
      </c>
      <c r="G103" s="5">
        <v>250000</v>
      </c>
      <c r="H103" s="16">
        <f t="shared" si="3"/>
        <v>500000</v>
      </c>
      <c r="I103" s="3" t="str">
        <f>IF(Table4[[#This Row],[Total_Sales]]&gt;=200000,"High","Low")</f>
        <v>High</v>
      </c>
    </row>
    <row r="104" spans="1:9" x14ac:dyDescent="0.25">
      <c r="A104" s="3">
        <v>1103</v>
      </c>
      <c r="B104" s="6">
        <v>45395</v>
      </c>
      <c r="C104" s="3" t="s">
        <v>14</v>
      </c>
      <c r="D104" s="3" t="s">
        <v>13</v>
      </c>
      <c r="E104" s="3" t="s">
        <v>52</v>
      </c>
      <c r="F104" s="3">
        <v>3</v>
      </c>
      <c r="G104" s="5">
        <v>120000</v>
      </c>
      <c r="H104" s="16">
        <f t="shared" si="3"/>
        <v>360000</v>
      </c>
      <c r="I104" s="3" t="str">
        <f>IF(Table4[[#This Row],[Total_Sales]]&gt;=200000,"High","Low")</f>
        <v>High</v>
      </c>
    </row>
    <row r="105" spans="1:9" x14ac:dyDescent="0.25">
      <c r="A105" s="3">
        <v>1104</v>
      </c>
      <c r="B105" s="6">
        <v>45396</v>
      </c>
      <c r="C105" s="3" t="s">
        <v>12</v>
      </c>
      <c r="D105" s="3" t="s">
        <v>6</v>
      </c>
      <c r="E105" s="3" t="s">
        <v>15</v>
      </c>
      <c r="F105" s="3">
        <v>5</v>
      </c>
      <c r="G105" s="5">
        <v>75000</v>
      </c>
      <c r="H105" s="16">
        <f t="shared" si="3"/>
        <v>375000</v>
      </c>
      <c r="I105" s="3" t="str">
        <f>IF(Table4[[#This Row],[Total_Sales]]&gt;=200000,"High","Low")</f>
        <v>High</v>
      </c>
    </row>
    <row r="106" spans="1:9" x14ac:dyDescent="0.25">
      <c r="A106" s="3">
        <v>1105</v>
      </c>
      <c r="B106" s="6">
        <v>45397</v>
      </c>
      <c r="C106" s="3" t="s">
        <v>12</v>
      </c>
      <c r="D106" s="3" t="s">
        <v>6</v>
      </c>
      <c r="E106" s="3" t="s">
        <v>5</v>
      </c>
      <c r="F106" s="3">
        <v>2</v>
      </c>
      <c r="G106" s="5">
        <v>150000</v>
      </c>
      <c r="H106" s="16">
        <f t="shared" si="3"/>
        <v>300000</v>
      </c>
      <c r="I106" s="3" t="str">
        <f>IF(Table4[[#This Row],[Total_Sales]]&gt;=200000,"High","Low")</f>
        <v>High</v>
      </c>
    </row>
    <row r="107" spans="1:9" x14ac:dyDescent="0.25">
      <c r="A107" s="3">
        <v>1106</v>
      </c>
      <c r="B107" s="6">
        <v>45398</v>
      </c>
      <c r="C107" s="3" t="s">
        <v>12</v>
      </c>
      <c r="D107" s="3" t="s">
        <v>6</v>
      </c>
      <c r="E107" s="3" t="s">
        <v>51</v>
      </c>
      <c r="F107" s="3">
        <v>3</v>
      </c>
      <c r="G107" s="5">
        <v>180000</v>
      </c>
      <c r="H107" s="16">
        <f t="shared" si="3"/>
        <v>540000</v>
      </c>
      <c r="I107" s="3" t="str">
        <f>IF(Table4[[#This Row],[Total_Sales]]&gt;=200000,"High","Low")</f>
        <v>High</v>
      </c>
    </row>
    <row r="108" spans="1:9" x14ac:dyDescent="0.25">
      <c r="A108" s="3">
        <v>1107</v>
      </c>
      <c r="B108" s="6">
        <v>45399</v>
      </c>
      <c r="C108" s="3" t="s">
        <v>12</v>
      </c>
      <c r="D108" s="3" t="s">
        <v>8</v>
      </c>
      <c r="E108" s="3" t="s">
        <v>17</v>
      </c>
      <c r="F108" s="3">
        <v>4</v>
      </c>
      <c r="G108" s="5">
        <v>45000</v>
      </c>
      <c r="H108" s="16">
        <f t="shared" si="3"/>
        <v>180000</v>
      </c>
      <c r="I108" s="3" t="str">
        <f>IF(Table4[[#This Row],[Total_Sales]]&gt;=200000,"High","Low")</f>
        <v>Low</v>
      </c>
    </row>
    <row r="109" spans="1:9" x14ac:dyDescent="0.25">
      <c r="A109" s="3">
        <v>1108</v>
      </c>
      <c r="B109" s="6">
        <v>45400</v>
      </c>
      <c r="C109" s="3" t="s">
        <v>12</v>
      </c>
      <c r="D109" s="3" t="s">
        <v>8</v>
      </c>
      <c r="E109" s="3" t="s">
        <v>7</v>
      </c>
      <c r="F109" s="3">
        <v>2</v>
      </c>
      <c r="G109" s="5">
        <v>55000</v>
      </c>
      <c r="H109" s="16">
        <f t="shared" si="3"/>
        <v>110000</v>
      </c>
      <c r="I109" s="3" t="str">
        <f>IF(Table4[[#This Row],[Total_Sales]]&gt;=200000,"High","Low")</f>
        <v>Low</v>
      </c>
    </row>
    <row r="110" spans="1:9" x14ac:dyDescent="0.25">
      <c r="A110" s="3">
        <v>1109</v>
      </c>
      <c r="B110" s="6">
        <v>45401</v>
      </c>
      <c r="C110" s="3" t="s">
        <v>12</v>
      </c>
      <c r="D110" s="3" t="s">
        <v>11</v>
      </c>
      <c r="E110" s="3" t="s">
        <v>19</v>
      </c>
      <c r="F110" s="3">
        <v>3</v>
      </c>
      <c r="G110" s="5">
        <v>85000</v>
      </c>
      <c r="H110" s="16">
        <f t="shared" si="3"/>
        <v>255000</v>
      </c>
      <c r="I110" s="3" t="str">
        <f>IF(Table4[[#This Row],[Total_Sales]]&gt;=200000,"High","Low")</f>
        <v>High</v>
      </c>
    </row>
    <row r="111" spans="1:9" x14ac:dyDescent="0.25">
      <c r="A111" s="3">
        <v>1110</v>
      </c>
      <c r="B111" s="6">
        <v>45402</v>
      </c>
      <c r="C111" s="3" t="s">
        <v>12</v>
      </c>
      <c r="D111" s="3" t="s">
        <v>11</v>
      </c>
      <c r="E111" s="3" t="s">
        <v>16</v>
      </c>
      <c r="F111" s="3">
        <v>2</v>
      </c>
      <c r="G111" s="5">
        <v>150000</v>
      </c>
      <c r="H111" s="16">
        <f t="shared" si="3"/>
        <v>300000</v>
      </c>
      <c r="I111" s="3" t="str">
        <f>IF(Table4[[#This Row],[Total_Sales]]&gt;=200000,"High","Low")</f>
        <v>High</v>
      </c>
    </row>
    <row r="112" spans="1:9" x14ac:dyDescent="0.25">
      <c r="A112" s="3">
        <v>1111</v>
      </c>
      <c r="B112" s="6">
        <v>45403</v>
      </c>
      <c r="C112" s="3" t="s">
        <v>12</v>
      </c>
      <c r="D112" s="3" t="s">
        <v>11</v>
      </c>
      <c r="E112" s="3" t="s">
        <v>10</v>
      </c>
      <c r="F112" s="3">
        <v>1</v>
      </c>
      <c r="G112" s="5">
        <v>250000</v>
      </c>
      <c r="H112" s="16">
        <f t="shared" si="3"/>
        <v>250000</v>
      </c>
      <c r="I112" s="3" t="str">
        <f>IF(Table4[[#This Row],[Total_Sales]]&gt;=200000,"High","Low")</f>
        <v>High</v>
      </c>
    </row>
    <row r="113" spans="1:9" x14ac:dyDescent="0.25">
      <c r="A113" s="3">
        <v>1112</v>
      </c>
      <c r="B113" s="6">
        <v>45404</v>
      </c>
      <c r="C113" s="3" t="s">
        <v>12</v>
      </c>
      <c r="D113" s="3" t="s">
        <v>13</v>
      </c>
      <c r="E113" s="3" t="s">
        <v>18</v>
      </c>
      <c r="F113" s="3">
        <v>2</v>
      </c>
      <c r="G113" s="5">
        <v>250000</v>
      </c>
      <c r="H113" s="16">
        <f t="shared" si="3"/>
        <v>500000</v>
      </c>
      <c r="I113" s="3" t="str">
        <f>IF(Table4[[#This Row],[Total_Sales]]&gt;=200000,"High","Low")</f>
        <v>High</v>
      </c>
    </row>
    <row r="114" spans="1:9" x14ac:dyDescent="0.25">
      <c r="A114" s="3">
        <v>1113</v>
      </c>
      <c r="B114" s="6">
        <v>45405</v>
      </c>
      <c r="C114" s="3" t="s">
        <v>12</v>
      </c>
      <c r="D114" s="3" t="s">
        <v>13</v>
      </c>
      <c r="E114" s="3" t="s">
        <v>52</v>
      </c>
      <c r="F114" s="3">
        <v>4</v>
      </c>
      <c r="G114" s="5">
        <v>120000</v>
      </c>
      <c r="H114" s="16">
        <f t="shared" si="3"/>
        <v>480000</v>
      </c>
      <c r="I114" s="3" t="str">
        <f>IF(Table4[[#This Row],[Total_Sales]]&gt;=200000,"High","Low")</f>
        <v>High</v>
      </c>
    </row>
    <row r="115" spans="1:9" x14ac:dyDescent="0.25">
      <c r="A115" s="3">
        <v>1114</v>
      </c>
      <c r="B115" s="6">
        <v>45406</v>
      </c>
      <c r="C115" s="3" t="s">
        <v>20</v>
      </c>
      <c r="D115" s="3" t="s">
        <v>6</v>
      </c>
      <c r="E115" s="3" t="s">
        <v>15</v>
      </c>
      <c r="F115" s="3">
        <v>3</v>
      </c>
      <c r="G115" s="5">
        <v>75000</v>
      </c>
      <c r="H115" s="16">
        <f t="shared" si="3"/>
        <v>225000</v>
      </c>
      <c r="I115" s="3" t="str">
        <f>IF(Table4[[#This Row],[Total_Sales]]&gt;=200000,"High","Low")</f>
        <v>High</v>
      </c>
    </row>
    <row r="116" spans="1:9" x14ac:dyDescent="0.25">
      <c r="A116" s="3">
        <v>1115</v>
      </c>
      <c r="B116" s="6">
        <v>45407</v>
      </c>
      <c r="C116" s="3" t="s">
        <v>20</v>
      </c>
      <c r="D116" s="3" t="s">
        <v>6</v>
      </c>
      <c r="E116" s="3" t="s">
        <v>5</v>
      </c>
      <c r="F116" s="3">
        <v>2</v>
      </c>
      <c r="G116" s="5">
        <v>150000</v>
      </c>
      <c r="H116" s="16">
        <f t="shared" si="3"/>
        <v>300000</v>
      </c>
      <c r="I116" s="3" t="str">
        <f>IF(Table4[[#This Row],[Total_Sales]]&gt;=200000,"High","Low")</f>
        <v>High</v>
      </c>
    </row>
    <row r="117" spans="1:9" x14ac:dyDescent="0.25">
      <c r="A117" s="3">
        <v>1116</v>
      </c>
      <c r="B117" s="6">
        <v>45408</v>
      </c>
      <c r="C117" s="3" t="s">
        <v>20</v>
      </c>
      <c r="D117" s="3" t="s">
        <v>8</v>
      </c>
      <c r="E117" s="3" t="s">
        <v>17</v>
      </c>
      <c r="F117" s="3">
        <v>3</v>
      </c>
      <c r="G117" s="5">
        <v>45000</v>
      </c>
      <c r="H117" s="16">
        <f t="shared" si="3"/>
        <v>135000</v>
      </c>
      <c r="I117" s="3" t="str">
        <f>IF(Table4[[#This Row],[Total_Sales]]&gt;=200000,"High","Low")</f>
        <v>Low</v>
      </c>
    </row>
    <row r="118" spans="1:9" x14ac:dyDescent="0.25">
      <c r="A118" s="3">
        <v>1117</v>
      </c>
      <c r="B118" s="6">
        <v>45409</v>
      </c>
      <c r="C118" s="3" t="s">
        <v>20</v>
      </c>
      <c r="D118" s="3" t="s">
        <v>11</v>
      </c>
      <c r="E118" s="3" t="s">
        <v>19</v>
      </c>
      <c r="F118" s="3">
        <v>4</v>
      </c>
      <c r="G118" s="5">
        <v>85000</v>
      </c>
      <c r="H118" s="16">
        <f t="shared" si="3"/>
        <v>340000</v>
      </c>
      <c r="I118" s="3" t="str">
        <f>IF(Table4[[#This Row],[Total_Sales]]&gt;=200000,"High","Low")</f>
        <v>High</v>
      </c>
    </row>
    <row r="119" spans="1:9" x14ac:dyDescent="0.25">
      <c r="A119" s="3">
        <v>1118</v>
      </c>
      <c r="B119" s="6">
        <v>45410</v>
      </c>
      <c r="C119" s="3" t="s">
        <v>20</v>
      </c>
      <c r="D119" s="3" t="s">
        <v>13</v>
      </c>
      <c r="E119" s="3" t="s">
        <v>18</v>
      </c>
      <c r="F119" s="3">
        <v>1</v>
      </c>
      <c r="G119" s="5">
        <v>250000</v>
      </c>
      <c r="H119" s="16">
        <f t="shared" si="3"/>
        <v>250000</v>
      </c>
      <c r="I119" s="3" t="str">
        <f>IF(Table4[[#This Row],[Total_Sales]]&gt;=200000,"High","Low")</f>
        <v>High</v>
      </c>
    </row>
    <row r="120" spans="1:9" x14ac:dyDescent="0.25">
      <c r="A120" s="3">
        <v>1119</v>
      </c>
      <c r="B120" s="6">
        <v>45411</v>
      </c>
      <c r="C120" s="3" t="s">
        <v>9</v>
      </c>
      <c r="D120" s="3" t="s">
        <v>6</v>
      </c>
      <c r="E120" s="3" t="s">
        <v>51</v>
      </c>
      <c r="F120" s="3">
        <v>2</v>
      </c>
      <c r="G120" s="5">
        <v>180000</v>
      </c>
      <c r="H120" s="16">
        <f t="shared" si="3"/>
        <v>360000</v>
      </c>
      <c r="I120" s="3" t="str">
        <f>IF(Table4[[#This Row],[Total_Sales]]&gt;=200000,"High","Low")</f>
        <v>High</v>
      </c>
    </row>
    <row r="121" spans="1:9" x14ac:dyDescent="0.25">
      <c r="A121" s="3">
        <v>1120</v>
      </c>
      <c r="B121" s="6">
        <v>45412</v>
      </c>
      <c r="C121" s="3" t="s">
        <v>9</v>
      </c>
      <c r="D121" s="3" t="s">
        <v>8</v>
      </c>
      <c r="E121" s="3" t="s">
        <v>7</v>
      </c>
      <c r="F121" s="3">
        <v>3</v>
      </c>
      <c r="G121" s="5">
        <v>55000</v>
      </c>
      <c r="H121" s="16">
        <f t="shared" si="3"/>
        <v>165000</v>
      </c>
      <c r="I121" s="3" t="str">
        <f>IF(Table4[[#This Row],[Total_Sales]]&gt;=200000,"High","Low")</f>
        <v>Low</v>
      </c>
    </row>
    <row r="122" spans="1:9" x14ac:dyDescent="0.25">
      <c r="A122" s="3">
        <v>1121</v>
      </c>
      <c r="B122" s="6">
        <v>45413</v>
      </c>
      <c r="C122" s="3" t="s">
        <v>14</v>
      </c>
      <c r="D122" s="3" t="s">
        <v>11</v>
      </c>
      <c r="E122" s="3" t="s">
        <v>16</v>
      </c>
      <c r="F122" s="3">
        <v>2</v>
      </c>
      <c r="G122" s="5">
        <v>150000</v>
      </c>
      <c r="H122" s="16">
        <f t="shared" si="3"/>
        <v>300000</v>
      </c>
      <c r="I122" s="3" t="str">
        <f>IF(Table4[[#This Row],[Total_Sales]]&gt;=200000,"High","Low")</f>
        <v>High</v>
      </c>
    </row>
    <row r="123" spans="1:9" x14ac:dyDescent="0.25">
      <c r="A123" s="3">
        <v>1122</v>
      </c>
      <c r="B123" s="6">
        <v>45414</v>
      </c>
      <c r="C123" s="3" t="s">
        <v>12</v>
      </c>
      <c r="D123" s="3" t="s">
        <v>13</v>
      </c>
      <c r="E123" s="3" t="s">
        <v>52</v>
      </c>
      <c r="F123" s="3">
        <v>2</v>
      </c>
      <c r="G123" s="5">
        <v>120000</v>
      </c>
      <c r="H123" s="16">
        <f t="shared" si="3"/>
        <v>240000</v>
      </c>
      <c r="I123" s="3" t="str">
        <f>IF(Table4[[#This Row],[Total_Sales]]&gt;=200000,"High","Low")</f>
        <v>High</v>
      </c>
    </row>
    <row r="124" spans="1:9" x14ac:dyDescent="0.25">
      <c r="A124" s="3">
        <v>1123</v>
      </c>
      <c r="B124" s="6">
        <v>45415</v>
      </c>
      <c r="C124" s="3" t="s">
        <v>20</v>
      </c>
      <c r="D124" s="3" t="s">
        <v>6</v>
      </c>
      <c r="E124" s="3" t="s">
        <v>15</v>
      </c>
      <c r="F124" s="3">
        <v>5</v>
      </c>
      <c r="G124" s="5">
        <v>75000</v>
      </c>
      <c r="H124" s="16">
        <f t="shared" si="3"/>
        <v>375000</v>
      </c>
      <c r="I124" s="3" t="str">
        <f>IF(Table4[[#This Row],[Total_Sales]]&gt;=200000,"High","Low")</f>
        <v>High</v>
      </c>
    </row>
    <row r="125" spans="1:9" x14ac:dyDescent="0.25">
      <c r="A125" s="3">
        <v>1124</v>
      </c>
      <c r="B125" s="6">
        <v>45416</v>
      </c>
      <c r="C125" s="3" t="s">
        <v>9</v>
      </c>
      <c r="D125" s="3" t="s">
        <v>11</v>
      </c>
      <c r="E125" s="3" t="s">
        <v>10</v>
      </c>
      <c r="F125" s="3">
        <v>2</v>
      </c>
      <c r="G125" s="5">
        <v>250000</v>
      </c>
      <c r="H125" s="16">
        <f t="shared" si="3"/>
        <v>500000</v>
      </c>
      <c r="I125" s="3" t="str">
        <f>IF(Table4[[#This Row],[Total_Sales]]&gt;=200000,"High","Low")</f>
        <v>High</v>
      </c>
    </row>
    <row r="126" spans="1:9" x14ac:dyDescent="0.25">
      <c r="A126" s="3">
        <v>1125</v>
      </c>
      <c r="B126" s="6">
        <v>45417</v>
      </c>
      <c r="C126" s="3" t="s">
        <v>14</v>
      </c>
      <c r="D126" s="3" t="s">
        <v>6</v>
      </c>
      <c r="E126" s="3" t="s">
        <v>5</v>
      </c>
      <c r="F126" s="3">
        <v>1</v>
      </c>
      <c r="G126" s="5">
        <v>150000</v>
      </c>
      <c r="H126" s="16">
        <f t="shared" si="3"/>
        <v>150000</v>
      </c>
      <c r="I126" s="3" t="str">
        <f>IF(Table4[[#This Row],[Total_Sales]]&gt;=200000,"High","Low")</f>
        <v>Low</v>
      </c>
    </row>
    <row r="127" spans="1:9" x14ac:dyDescent="0.25">
      <c r="A127" s="3">
        <v>1126</v>
      </c>
      <c r="B127" s="6">
        <v>45418</v>
      </c>
      <c r="C127" s="3" t="s">
        <v>12</v>
      </c>
      <c r="D127" s="3" t="s">
        <v>8</v>
      </c>
      <c r="E127" s="3" t="s">
        <v>17</v>
      </c>
      <c r="F127" s="3">
        <v>4</v>
      </c>
      <c r="G127" s="5">
        <v>45000</v>
      </c>
      <c r="H127" s="16">
        <f t="shared" si="3"/>
        <v>180000</v>
      </c>
      <c r="I127" s="3" t="str">
        <f>IF(Table4[[#This Row],[Total_Sales]]&gt;=200000,"High","Low")</f>
        <v>Low</v>
      </c>
    </row>
    <row r="128" spans="1:9" x14ac:dyDescent="0.25">
      <c r="A128" s="3">
        <v>1127</v>
      </c>
      <c r="B128" s="6">
        <v>45419</v>
      </c>
      <c r="C128" s="3" t="s">
        <v>20</v>
      </c>
      <c r="D128" s="3" t="s">
        <v>11</v>
      </c>
      <c r="E128" s="3" t="s">
        <v>19</v>
      </c>
      <c r="F128" s="3">
        <v>3</v>
      </c>
      <c r="G128" s="5">
        <v>85000</v>
      </c>
      <c r="H128" s="16">
        <f t="shared" si="3"/>
        <v>255000</v>
      </c>
      <c r="I128" s="3" t="str">
        <f>IF(Table4[[#This Row],[Total_Sales]]&gt;=200000,"High","Low")</f>
        <v>High</v>
      </c>
    </row>
    <row r="129" spans="1:9" x14ac:dyDescent="0.25">
      <c r="A129" s="3">
        <v>1128</v>
      </c>
      <c r="B129" s="6">
        <v>45420</v>
      </c>
      <c r="C129" s="3" t="s">
        <v>9</v>
      </c>
      <c r="D129" s="3" t="s">
        <v>13</v>
      </c>
      <c r="E129" s="3" t="s">
        <v>18</v>
      </c>
      <c r="F129" s="3">
        <v>2</v>
      </c>
      <c r="G129" s="5">
        <v>250000</v>
      </c>
      <c r="H129" s="16">
        <f t="shared" si="3"/>
        <v>500000</v>
      </c>
      <c r="I129" s="3" t="str">
        <f>IF(Table4[[#This Row],[Total_Sales]]&gt;=200000,"High","Low")</f>
        <v>High</v>
      </c>
    </row>
    <row r="130" spans="1:9" x14ac:dyDescent="0.25">
      <c r="A130" s="3">
        <v>1129</v>
      </c>
      <c r="B130" s="6">
        <v>45421</v>
      </c>
      <c r="C130" s="3" t="s">
        <v>14</v>
      </c>
      <c r="D130" s="3" t="s">
        <v>6</v>
      </c>
      <c r="E130" s="3" t="s">
        <v>51</v>
      </c>
      <c r="F130" s="3">
        <v>3</v>
      </c>
      <c r="G130" s="5">
        <v>180000</v>
      </c>
      <c r="H130" s="16">
        <f t="shared" si="3"/>
        <v>540000</v>
      </c>
      <c r="I130" s="3" t="str">
        <f>IF(Table4[[#This Row],[Total_Sales]]&gt;=200000,"High","Low")</f>
        <v>High</v>
      </c>
    </row>
    <row r="131" spans="1:9" x14ac:dyDescent="0.25">
      <c r="A131" s="3">
        <v>1130</v>
      </c>
      <c r="B131" s="6">
        <v>45422</v>
      </c>
      <c r="C131" s="3" t="s">
        <v>12</v>
      </c>
      <c r="D131" s="3" t="s">
        <v>11</v>
      </c>
      <c r="E131" s="3" t="s">
        <v>16</v>
      </c>
      <c r="F131" s="3">
        <v>1</v>
      </c>
      <c r="G131" s="5">
        <v>150000</v>
      </c>
      <c r="H131" s="16">
        <f t="shared" si="3"/>
        <v>150000</v>
      </c>
      <c r="I131" s="3" t="str">
        <f>IF(Table4[[#This Row],[Total_Sales]]&gt;=200000,"High","Low")</f>
        <v>Low</v>
      </c>
    </row>
    <row r="134" spans="1:9" x14ac:dyDescent="0.25">
      <c r="H134" s="5" t="s">
        <v>55</v>
      </c>
      <c r="I134" s="4">
        <f>SUM(H122:H131)</f>
        <v>3190000</v>
      </c>
    </row>
    <row r="135" spans="1:9" x14ac:dyDescent="0.25">
      <c r="H135" s="5" t="s">
        <v>56</v>
      </c>
      <c r="I135" s="4">
        <f>SUM(H92:H101)</f>
        <v>3035000</v>
      </c>
    </row>
    <row r="137" spans="1:9" x14ac:dyDescent="0.25">
      <c r="H137" s="5" t="s">
        <v>67</v>
      </c>
    </row>
  </sheetData>
  <conditionalFormatting sqref="A72:A131">
    <cfRule type="duplicateValues" dxfId="1" priority="1"/>
  </conditionalFormatting>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5FCB4B-924B-4F77-8209-9499BBDB8032}">
  <sheetPr codeName="Sheet1"/>
  <dimension ref="A1:AI121"/>
  <sheetViews>
    <sheetView tabSelected="1" topLeftCell="B32" zoomScale="45" zoomScaleNormal="85" workbookViewId="0">
      <selection activeCell="A16" sqref="A16"/>
    </sheetView>
  </sheetViews>
  <sheetFormatPr defaultRowHeight="15" x14ac:dyDescent="0.25"/>
  <cols>
    <col min="1" max="1" width="37" bestFit="1" customWidth="1"/>
    <col min="3" max="3" width="19.28515625" bestFit="1" customWidth="1"/>
    <col min="4" max="4" width="26.140625" bestFit="1" customWidth="1"/>
    <col min="5" max="5" width="18.85546875" bestFit="1" customWidth="1"/>
    <col min="6" max="6" width="11.42578125" bestFit="1" customWidth="1"/>
    <col min="7" max="7" width="8.28515625" bestFit="1" customWidth="1"/>
    <col min="8" max="8" width="11.42578125" bestFit="1" customWidth="1"/>
    <col min="16" max="16" width="13.42578125" bestFit="1" customWidth="1"/>
    <col min="17" max="17" width="21.42578125" bestFit="1" customWidth="1"/>
    <col min="18" max="18" width="19" bestFit="1" customWidth="1"/>
    <col min="19" max="19" width="20.5703125" bestFit="1" customWidth="1"/>
    <col min="20" max="21" width="17.85546875" bestFit="1" customWidth="1"/>
    <col min="22" max="22" width="11.42578125" bestFit="1" customWidth="1"/>
    <col min="23" max="23" width="6.5703125" bestFit="1" customWidth="1"/>
    <col min="24" max="24" width="9.7109375" bestFit="1" customWidth="1"/>
    <col min="25" max="25" width="13.5703125" bestFit="1" customWidth="1"/>
    <col min="26" max="26" width="11.42578125" bestFit="1" customWidth="1"/>
    <col min="29" max="29" width="10.7109375" customWidth="1"/>
    <col min="30" max="30" width="14.7109375" bestFit="1" customWidth="1"/>
    <col min="31" max="31" width="16.85546875" bestFit="1" customWidth="1"/>
    <col min="32" max="32" width="22.140625" bestFit="1" customWidth="1"/>
    <col min="33" max="33" width="19.28515625" bestFit="1" customWidth="1"/>
    <col min="34" max="34" width="17" bestFit="1" customWidth="1"/>
    <col min="35" max="35" width="12.7109375" bestFit="1" customWidth="1"/>
    <col min="36" max="36" width="17.7109375" bestFit="1" customWidth="1"/>
    <col min="37" max="38" width="19.28515625" bestFit="1" customWidth="1"/>
    <col min="39" max="39" width="22" bestFit="1" customWidth="1"/>
    <col min="40" max="40" width="24.28515625" bestFit="1" customWidth="1"/>
    <col min="41" max="43" width="13.85546875" bestFit="1" customWidth="1"/>
    <col min="44" max="44" width="13.140625" bestFit="1" customWidth="1"/>
    <col min="45" max="45" width="15.42578125" bestFit="1" customWidth="1"/>
    <col min="46" max="46" width="17.85546875" bestFit="1" customWidth="1"/>
    <col min="47" max="50" width="2.140625" bestFit="1" customWidth="1"/>
    <col min="51" max="51" width="11.28515625" bestFit="1" customWidth="1"/>
    <col min="52" max="52" width="11.42578125" bestFit="1" customWidth="1"/>
    <col min="53" max="53" width="16.28515625" bestFit="1" customWidth="1"/>
    <col min="54" max="54" width="12.85546875" bestFit="1" customWidth="1"/>
  </cols>
  <sheetData>
    <row r="1" spans="1:35" ht="26.25" x14ac:dyDescent="0.4">
      <c r="A1" s="23" t="s">
        <v>117</v>
      </c>
    </row>
    <row r="2" spans="1:35" x14ac:dyDescent="0.25">
      <c r="A2" s="24"/>
    </row>
    <row r="4" spans="1:35" ht="19.5" x14ac:dyDescent="0.3">
      <c r="B4" s="25">
        <v>1</v>
      </c>
      <c r="C4" s="11" t="s">
        <v>42</v>
      </c>
      <c r="D4" t="s">
        <v>45</v>
      </c>
    </row>
    <row r="5" spans="1:35" ht="19.5" x14ac:dyDescent="0.3">
      <c r="C5" s="10" t="s">
        <v>8</v>
      </c>
      <c r="D5" s="13">
        <v>4255000</v>
      </c>
      <c r="O5" s="25">
        <v>4</v>
      </c>
      <c r="P5" s="11" t="s">
        <v>63</v>
      </c>
      <c r="Q5" s="11" t="s">
        <v>24</v>
      </c>
      <c r="R5" t="s">
        <v>41</v>
      </c>
      <c r="S5" t="s">
        <v>62</v>
      </c>
      <c r="T5" t="s">
        <v>45</v>
      </c>
      <c r="AC5" s="25">
        <v>8</v>
      </c>
      <c r="AD5" s="20" t="s">
        <v>45</v>
      </c>
      <c r="AE5" s="20" t="s">
        <v>37</v>
      </c>
      <c r="AF5" s="15"/>
      <c r="AG5" s="15"/>
      <c r="AH5" s="15"/>
      <c r="AI5" s="15"/>
    </row>
    <row r="6" spans="1:35" x14ac:dyDescent="0.25">
      <c r="C6" s="10" t="s">
        <v>6</v>
      </c>
      <c r="D6" s="13">
        <v>12570000</v>
      </c>
      <c r="P6" t="s">
        <v>50</v>
      </c>
      <c r="AD6" s="20" t="s">
        <v>36</v>
      </c>
      <c r="AE6" s="15" t="s">
        <v>20</v>
      </c>
      <c r="AF6" s="15" t="s">
        <v>14</v>
      </c>
      <c r="AG6" s="15" t="s">
        <v>12</v>
      </c>
      <c r="AH6" s="15" t="s">
        <v>9</v>
      </c>
      <c r="AI6" s="15" t="s">
        <v>39</v>
      </c>
    </row>
    <row r="7" spans="1:35" x14ac:dyDescent="0.25">
      <c r="C7" s="10" t="s">
        <v>11</v>
      </c>
      <c r="D7" s="13">
        <v>12935000</v>
      </c>
      <c r="Q7" s="2" t="s">
        <v>49</v>
      </c>
      <c r="R7">
        <v>85</v>
      </c>
      <c r="S7">
        <v>126000</v>
      </c>
      <c r="T7">
        <v>9035000</v>
      </c>
      <c r="AD7" s="15" t="s">
        <v>8</v>
      </c>
      <c r="AE7" s="15">
        <v>950000</v>
      </c>
      <c r="AF7" s="15">
        <v>700000</v>
      </c>
      <c r="AG7" s="15">
        <v>1875000</v>
      </c>
      <c r="AH7" s="15">
        <v>730000</v>
      </c>
      <c r="AI7" s="15">
        <v>4255000</v>
      </c>
    </row>
    <row r="8" spans="1:35" x14ac:dyDescent="0.25">
      <c r="C8" s="10" t="s">
        <v>13</v>
      </c>
      <c r="D8" s="13">
        <v>11430000</v>
      </c>
      <c r="Q8" s="2" t="s">
        <v>48</v>
      </c>
      <c r="R8">
        <v>84</v>
      </c>
      <c r="S8">
        <v>128448.27586206897</v>
      </c>
      <c r="T8">
        <v>10050000</v>
      </c>
      <c r="AD8" s="15" t="s">
        <v>6</v>
      </c>
      <c r="AE8" s="15">
        <v>4980000</v>
      </c>
      <c r="AF8" s="15">
        <v>2625000</v>
      </c>
      <c r="AG8" s="15">
        <v>2415000</v>
      </c>
      <c r="AH8" s="15">
        <v>2550000</v>
      </c>
      <c r="AI8" s="15">
        <v>12570000</v>
      </c>
    </row>
    <row r="9" spans="1:35" x14ac:dyDescent="0.25">
      <c r="C9" s="10" t="s">
        <v>39</v>
      </c>
      <c r="D9" s="13">
        <v>41190000</v>
      </c>
      <c r="Q9" s="2" t="s">
        <v>47</v>
      </c>
      <c r="R9">
        <v>84</v>
      </c>
      <c r="S9">
        <v>127903.22580645161</v>
      </c>
      <c r="T9">
        <v>9455000</v>
      </c>
      <c r="AD9" s="15" t="s">
        <v>11</v>
      </c>
      <c r="AE9" s="15">
        <v>2725000</v>
      </c>
      <c r="AF9" s="15">
        <v>3975000</v>
      </c>
      <c r="AG9" s="15">
        <v>2970000</v>
      </c>
      <c r="AH9" s="15">
        <v>3265000</v>
      </c>
      <c r="AI9" s="15">
        <v>12935000</v>
      </c>
    </row>
    <row r="10" spans="1:35" x14ac:dyDescent="0.25">
      <c r="Q10" s="2" t="s">
        <v>53</v>
      </c>
      <c r="R10">
        <v>77</v>
      </c>
      <c r="S10">
        <v>139333.33333333334</v>
      </c>
      <c r="T10">
        <v>9460000</v>
      </c>
      <c r="AD10" s="15" t="s">
        <v>13</v>
      </c>
      <c r="AE10" s="15">
        <v>2610000</v>
      </c>
      <c r="AF10" s="15">
        <v>2360000</v>
      </c>
      <c r="AG10" s="15">
        <v>1470000</v>
      </c>
      <c r="AH10" s="15">
        <v>4990000</v>
      </c>
      <c r="AI10" s="15">
        <v>11430000</v>
      </c>
    </row>
    <row r="11" spans="1:35" x14ac:dyDescent="0.25">
      <c r="Q11" s="2" t="s">
        <v>54</v>
      </c>
      <c r="R11">
        <v>25</v>
      </c>
      <c r="S11">
        <v>145500</v>
      </c>
      <c r="T11">
        <v>3190000</v>
      </c>
      <c r="AD11" s="15" t="s">
        <v>39</v>
      </c>
      <c r="AE11" s="15">
        <v>11265000</v>
      </c>
      <c r="AF11" s="15">
        <v>9660000</v>
      </c>
      <c r="AG11" s="15">
        <v>8730000</v>
      </c>
      <c r="AH11" s="15">
        <v>11535000</v>
      </c>
      <c r="AI11" s="15">
        <v>41190000</v>
      </c>
    </row>
    <row r="12" spans="1:35" x14ac:dyDescent="0.25">
      <c r="P12" t="s">
        <v>39</v>
      </c>
      <c r="R12">
        <v>355</v>
      </c>
      <c r="S12">
        <v>131576.92307692306</v>
      </c>
      <c r="T12">
        <v>41190000</v>
      </c>
    </row>
    <row r="14" spans="1:35" x14ac:dyDescent="0.25">
      <c r="AD14" s="20" t="s">
        <v>42</v>
      </c>
      <c r="AE14" s="15" t="s">
        <v>41</v>
      </c>
      <c r="AF14" s="15" t="s">
        <v>62</v>
      </c>
      <c r="AG14" s="15" t="s">
        <v>45</v>
      </c>
    </row>
    <row r="15" spans="1:35" x14ac:dyDescent="0.25">
      <c r="AD15" s="21" t="s">
        <v>6</v>
      </c>
      <c r="AE15" s="15">
        <v>121</v>
      </c>
      <c r="AF15" s="15">
        <v>116511.62790697675</v>
      </c>
      <c r="AG15" s="15">
        <v>12570000</v>
      </c>
    </row>
    <row r="16" spans="1:35" x14ac:dyDescent="0.25">
      <c r="AD16" s="21" t="s">
        <v>11</v>
      </c>
      <c r="AE16" s="15">
        <v>94</v>
      </c>
      <c r="AF16" s="15">
        <v>152702.70270270269</v>
      </c>
      <c r="AG16" s="15">
        <v>12935000</v>
      </c>
    </row>
    <row r="17" spans="2:33" x14ac:dyDescent="0.25">
      <c r="AD17" s="21" t="s">
        <v>8</v>
      </c>
      <c r="AE17" s="15">
        <v>87</v>
      </c>
      <c r="AF17" s="15">
        <v>49814.814814814818</v>
      </c>
      <c r="AG17" s="15">
        <v>4255000</v>
      </c>
    </row>
    <row r="18" spans="2:33" x14ac:dyDescent="0.25">
      <c r="AD18" s="21" t="s">
        <v>13</v>
      </c>
      <c r="AE18" s="15">
        <v>53</v>
      </c>
      <c r="AF18" s="15">
        <v>221739.13043478262</v>
      </c>
      <c r="AG18" s="15">
        <v>11430000</v>
      </c>
    </row>
    <row r="19" spans="2:33" x14ac:dyDescent="0.25">
      <c r="AD19" s="21" t="s">
        <v>39</v>
      </c>
      <c r="AE19" s="15">
        <v>355</v>
      </c>
      <c r="AF19" s="15">
        <v>131576.92307692306</v>
      </c>
      <c r="AG19" s="15">
        <v>41190000</v>
      </c>
    </row>
    <row r="24" spans="2:33" ht="19.5" x14ac:dyDescent="0.3">
      <c r="B24" s="25">
        <v>2</v>
      </c>
      <c r="C24" s="11" t="s">
        <v>42</v>
      </c>
      <c r="D24" s="15" t="s">
        <v>45</v>
      </c>
    </row>
    <row r="25" spans="2:33" x14ac:dyDescent="0.25">
      <c r="C25" s="10" t="s">
        <v>50</v>
      </c>
      <c r="D25" s="13">
        <v>41190000</v>
      </c>
    </row>
    <row r="26" spans="2:33" x14ac:dyDescent="0.25">
      <c r="C26" s="14" t="s">
        <v>49</v>
      </c>
      <c r="D26" s="13">
        <v>9035000</v>
      </c>
    </row>
    <row r="27" spans="2:33" x14ac:dyDescent="0.25">
      <c r="C27" s="14" t="s">
        <v>48</v>
      </c>
      <c r="D27" s="13">
        <v>10050000</v>
      </c>
    </row>
    <row r="28" spans="2:33" x14ac:dyDescent="0.25">
      <c r="C28" s="14" t="s">
        <v>47</v>
      </c>
      <c r="D28" s="13">
        <v>9455000</v>
      </c>
    </row>
    <row r="29" spans="2:33" x14ac:dyDescent="0.25">
      <c r="C29" s="14" t="s">
        <v>53</v>
      </c>
      <c r="D29" s="13">
        <v>9460000</v>
      </c>
    </row>
    <row r="30" spans="2:33" x14ac:dyDescent="0.25">
      <c r="C30" s="14" t="s">
        <v>54</v>
      </c>
      <c r="D30" s="13">
        <v>3190000</v>
      </c>
    </row>
    <row r="31" spans="2:33" x14ac:dyDescent="0.25">
      <c r="C31" s="10" t="s">
        <v>39</v>
      </c>
      <c r="D31" s="13">
        <v>41190000</v>
      </c>
    </row>
    <row r="37" spans="15:17" ht="19.5" x14ac:dyDescent="0.3">
      <c r="O37" s="25">
        <v>5</v>
      </c>
      <c r="P37" s="11" t="s">
        <v>42</v>
      </c>
      <c r="Q37" t="s">
        <v>45</v>
      </c>
    </row>
    <row r="38" spans="15:17" x14ac:dyDescent="0.25">
      <c r="P38" s="10" t="s">
        <v>9</v>
      </c>
      <c r="Q38" s="12">
        <v>0.28004369992716677</v>
      </c>
    </row>
    <row r="39" spans="15:17" x14ac:dyDescent="0.25">
      <c r="P39" s="10" t="s">
        <v>20</v>
      </c>
      <c r="Q39" s="12">
        <v>0.2734887108521486</v>
      </c>
    </row>
    <row r="40" spans="15:17" x14ac:dyDescent="0.25">
      <c r="P40" s="10" t="s">
        <v>14</v>
      </c>
      <c r="Q40" s="12">
        <v>0.23452294246176256</v>
      </c>
    </row>
    <row r="41" spans="15:17" x14ac:dyDescent="0.25">
      <c r="P41" s="10" t="s">
        <v>12</v>
      </c>
      <c r="Q41" s="12">
        <v>0.21194464675892208</v>
      </c>
    </row>
    <row r="42" spans="15:17" x14ac:dyDescent="0.25">
      <c r="P42" s="10" t="s">
        <v>39</v>
      </c>
      <c r="Q42" s="12">
        <v>1</v>
      </c>
    </row>
    <row r="59" spans="6:18" ht="19.5" x14ac:dyDescent="0.3">
      <c r="F59" s="4"/>
      <c r="G59" s="4"/>
      <c r="O59" s="25">
        <v>6</v>
      </c>
      <c r="P59" s="11" t="s">
        <v>42</v>
      </c>
      <c r="Q59" t="s">
        <v>41</v>
      </c>
      <c r="R59" t="s">
        <v>40</v>
      </c>
    </row>
    <row r="60" spans="6:18" x14ac:dyDescent="0.25">
      <c r="F60" s="4"/>
      <c r="G60" s="4"/>
      <c r="P60" s="10" t="s">
        <v>15</v>
      </c>
      <c r="Q60">
        <v>82</v>
      </c>
      <c r="R60">
        <v>1</v>
      </c>
    </row>
    <row r="61" spans="6:18" x14ac:dyDescent="0.25">
      <c r="P61" s="10" t="s">
        <v>17</v>
      </c>
      <c r="Q61">
        <v>53</v>
      </c>
      <c r="R61">
        <v>2</v>
      </c>
    </row>
    <row r="62" spans="6:18" x14ac:dyDescent="0.25">
      <c r="P62" s="10" t="s">
        <v>19</v>
      </c>
      <c r="Q62">
        <v>45</v>
      </c>
      <c r="R62">
        <v>3</v>
      </c>
    </row>
    <row r="63" spans="6:18" x14ac:dyDescent="0.25">
      <c r="P63" s="10" t="s">
        <v>18</v>
      </c>
      <c r="Q63">
        <v>39</v>
      </c>
      <c r="R63">
        <v>4</v>
      </c>
    </row>
    <row r="64" spans="6:18" x14ac:dyDescent="0.25">
      <c r="P64" s="10" t="s">
        <v>7</v>
      </c>
      <c r="Q64">
        <v>34</v>
      </c>
      <c r="R64">
        <v>5</v>
      </c>
    </row>
    <row r="65" spans="2:18" x14ac:dyDescent="0.25">
      <c r="P65" s="10" t="s">
        <v>16</v>
      </c>
      <c r="Q65">
        <v>21</v>
      </c>
      <c r="R65">
        <v>6</v>
      </c>
    </row>
    <row r="66" spans="2:18" x14ac:dyDescent="0.25">
      <c r="P66" s="10" t="s">
        <v>10</v>
      </c>
      <c r="Q66">
        <v>20</v>
      </c>
      <c r="R66">
        <v>7</v>
      </c>
    </row>
    <row r="67" spans="2:18" x14ac:dyDescent="0.25">
      <c r="P67" s="10" t="s">
        <v>5</v>
      </c>
      <c r="Q67">
        <v>20</v>
      </c>
      <c r="R67">
        <v>7</v>
      </c>
    </row>
    <row r="68" spans="2:18" x14ac:dyDescent="0.25">
      <c r="P68" s="10" t="s">
        <v>51</v>
      </c>
      <c r="Q68">
        <v>19</v>
      </c>
      <c r="R68">
        <v>8</v>
      </c>
    </row>
    <row r="69" spans="2:18" x14ac:dyDescent="0.25">
      <c r="P69" s="10" t="s">
        <v>52</v>
      </c>
      <c r="Q69">
        <v>14</v>
      </c>
      <c r="R69">
        <v>9</v>
      </c>
    </row>
    <row r="70" spans="2:18" x14ac:dyDescent="0.25">
      <c r="P70" s="10" t="s">
        <v>0</v>
      </c>
      <c r="Q70">
        <v>8</v>
      </c>
      <c r="R70">
        <v>10</v>
      </c>
    </row>
    <row r="71" spans="2:18" ht="19.5" x14ac:dyDescent="0.3">
      <c r="B71" s="25">
        <v>3</v>
      </c>
      <c r="C71" s="11" t="s">
        <v>37</v>
      </c>
      <c r="D71" t="s">
        <v>46</v>
      </c>
      <c r="P71" s="10" t="s">
        <v>39</v>
      </c>
      <c r="Q71">
        <v>355</v>
      </c>
    </row>
    <row r="72" spans="2:18" x14ac:dyDescent="0.25">
      <c r="C72" s="11" t="s">
        <v>36</v>
      </c>
      <c r="D72" t="s">
        <v>46</v>
      </c>
    </row>
    <row r="74" spans="2:18" x14ac:dyDescent="0.25">
      <c r="C74" s="11" t="s">
        <v>42</v>
      </c>
      <c r="D74" t="s">
        <v>45</v>
      </c>
    </row>
    <row r="75" spans="2:18" x14ac:dyDescent="0.25">
      <c r="C75" s="10" t="s">
        <v>44</v>
      </c>
      <c r="D75">
        <v>35165000</v>
      </c>
    </row>
    <row r="76" spans="2:18" x14ac:dyDescent="0.25">
      <c r="C76" s="10" t="s">
        <v>43</v>
      </c>
      <c r="D76">
        <v>6025000</v>
      </c>
    </row>
    <row r="77" spans="2:18" x14ac:dyDescent="0.25">
      <c r="C77" s="10" t="s">
        <v>39</v>
      </c>
      <c r="D77">
        <v>41190000</v>
      </c>
    </row>
    <row r="79" spans="2:18" ht="19.5" x14ac:dyDescent="0.3">
      <c r="O79" s="25">
        <v>7</v>
      </c>
      <c r="P79" s="11" t="s">
        <v>42</v>
      </c>
      <c r="Q79" t="s">
        <v>64</v>
      </c>
      <c r="R79" t="s">
        <v>65</v>
      </c>
    </row>
    <row r="80" spans="2:18" x14ac:dyDescent="0.25">
      <c r="P80" s="10">
        <v>1004</v>
      </c>
      <c r="Q80">
        <v>180000</v>
      </c>
      <c r="R80">
        <v>4</v>
      </c>
    </row>
    <row r="81" spans="16:18" x14ac:dyDescent="0.25">
      <c r="P81" s="10">
        <v>1005</v>
      </c>
      <c r="Q81">
        <v>150000</v>
      </c>
      <c r="R81">
        <v>1</v>
      </c>
    </row>
    <row r="82" spans="16:18" x14ac:dyDescent="0.25">
      <c r="P82" s="10">
        <v>1008</v>
      </c>
      <c r="Q82">
        <v>165000</v>
      </c>
      <c r="R82">
        <v>3</v>
      </c>
    </row>
    <row r="83" spans="16:18" x14ac:dyDescent="0.25">
      <c r="P83" s="10">
        <v>1013</v>
      </c>
      <c r="Q83">
        <v>90000</v>
      </c>
      <c r="R83">
        <v>2</v>
      </c>
    </row>
    <row r="84" spans="16:18" x14ac:dyDescent="0.25">
      <c r="P84" s="10">
        <v>1015</v>
      </c>
      <c r="Q84">
        <v>150000</v>
      </c>
      <c r="R84">
        <v>1</v>
      </c>
    </row>
    <row r="85" spans="16:18" x14ac:dyDescent="0.25">
      <c r="P85" s="10">
        <v>1021</v>
      </c>
      <c r="Q85">
        <v>150000</v>
      </c>
      <c r="R85">
        <v>2</v>
      </c>
    </row>
    <row r="86" spans="16:18" x14ac:dyDescent="0.25">
      <c r="P86" s="10">
        <v>1023</v>
      </c>
      <c r="Q86">
        <v>110000</v>
      </c>
      <c r="R86">
        <v>2</v>
      </c>
    </row>
    <row r="87" spans="16:18" x14ac:dyDescent="0.25">
      <c r="P87" s="10">
        <v>1027</v>
      </c>
      <c r="Q87">
        <v>180000</v>
      </c>
      <c r="R87">
        <v>4</v>
      </c>
    </row>
    <row r="88" spans="16:18" x14ac:dyDescent="0.25">
      <c r="P88" s="10">
        <v>1028</v>
      </c>
      <c r="Q88">
        <v>150000</v>
      </c>
      <c r="R88">
        <v>1</v>
      </c>
    </row>
    <row r="89" spans="16:18" x14ac:dyDescent="0.25">
      <c r="P89" s="10">
        <v>1032</v>
      </c>
      <c r="Q89">
        <v>165000</v>
      </c>
      <c r="R89">
        <v>3</v>
      </c>
    </row>
    <row r="90" spans="16:18" x14ac:dyDescent="0.25">
      <c r="P90" s="10">
        <v>1033</v>
      </c>
      <c r="Q90">
        <v>170000</v>
      </c>
      <c r="R90">
        <v>2</v>
      </c>
    </row>
    <row r="91" spans="16:18" x14ac:dyDescent="0.25">
      <c r="P91" s="10">
        <v>1035</v>
      </c>
      <c r="Q91">
        <v>150000</v>
      </c>
      <c r="R91">
        <v>1</v>
      </c>
    </row>
    <row r="92" spans="16:18" x14ac:dyDescent="0.25">
      <c r="P92" s="10">
        <v>1038</v>
      </c>
      <c r="Q92">
        <v>150000</v>
      </c>
      <c r="R92">
        <v>2</v>
      </c>
    </row>
    <row r="93" spans="16:18" x14ac:dyDescent="0.25">
      <c r="P93" s="10">
        <v>1041</v>
      </c>
      <c r="Q93">
        <v>110000</v>
      </c>
      <c r="R93">
        <v>2</v>
      </c>
    </row>
    <row r="94" spans="16:18" x14ac:dyDescent="0.25">
      <c r="P94" s="10">
        <v>1046</v>
      </c>
      <c r="Q94">
        <v>180000</v>
      </c>
      <c r="R94">
        <v>4</v>
      </c>
    </row>
    <row r="95" spans="16:18" x14ac:dyDescent="0.25">
      <c r="P95" s="10">
        <v>1047</v>
      </c>
      <c r="Q95">
        <v>120000</v>
      </c>
      <c r="R95">
        <v>1</v>
      </c>
    </row>
    <row r="96" spans="16:18" x14ac:dyDescent="0.25">
      <c r="P96" s="10">
        <v>1048</v>
      </c>
      <c r="Q96">
        <v>150000</v>
      </c>
      <c r="R96">
        <v>2</v>
      </c>
    </row>
    <row r="97" spans="16:18" x14ac:dyDescent="0.25">
      <c r="P97" s="10">
        <v>1050</v>
      </c>
      <c r="Q97">
        <v>165000</v>
      </c>
      <c r="R97">
        <v>3</v>
      </c>
    </row>
    <row r="98" spans="16:18" x14ac:dyDescent="0.25">
      <c r="P98" s="10">
        <v>1053</v>
      </c>
      <c r="Q98">
        <v>150000</v>
      </c>
      <c r="R98">
        <v>1</v>
      </c>
    </row>
    <row r="99" spans="16:18" x14ac:dyDescent="0.25">
      <c r="P99" s="10">
        <v>1059</v>
      </c>
      <c r="Q99">
        <v>165000</v>
      </c>
      <c r="R99">
        <v>3</v>
      </c>
    </row>
    <row r="100" spans="16:18" x14ac:dyDescent="0.25">
      <c r="P100" s="10">
        <v>1061</v>
      </c>
      <c r="Q100">
        <v>170000</v>
      </c>
      <c r="R100">
        <v>2</v>
      </c>
    </row>
    <row r="101" spans="16:18" x14ac:dyDescent="0.25">
      <c r="P101" s="10">
        <v>1064</v>
      </c>
      <c r="Q101">
        <v>180000</v>
      </c>
      <c r="R101">
        <v>4</v>
      </c>
    </row>
    <row r="102" spans="16:18" x14ac:dyDescent="0.25">
      <c r="P102" s="10">
        <v>1066</v>
      </c>
      <c r="Q102">
        <v>150000</v>
      </c>
      <c r="R102">
        <v>2</v>
      </c>
    </row>
    <row r="103" spans="16:18" x14ac:dyDescent="0.25">
      <c r="P103" s="10">
        <v>1069</v>
      </c>
      <c r="Q103">
        <v>110000</v>
      </c>
      <c r="R103">
        <v>2</v>
      </c>
    </row>
    <row r="104" spans="16:18" x14ac:dyDescent="0.25">
      <c r="P104" s="10">
        <v>1070</v>
      </c>
      <c r="Q104">
        <v>150000</v>
      </c>
      <c r="R104">
        <v>1</v>
      </c>
    </row>
    <row r="105" spans="16:18" x14ac:dyDescent="0.25">
      <c r="P105" s="10">
        <v>1075</v>
      </c>
      <c r="Q105">
        <v>150000</v>
      </c>
      <c r="R105">
        <v>1</v>
      </c>
    </row>
    <row r="106" spans="16:18" x14ac:dyDescent="0.25">
      <c r="P106" s="10">
        <v>1076</v>
      </c>
      <c r="Q106">
        <v>135000</v>
      </c>
      <c r="R106">
        <v>3</v>
      </c>
    </row>
    <row r="107" spans="16:18" x14ac:dyDescent="0.25">
      <c r="P107" s="10">
        <v>1077</v>
      </c>
      <c r="Q107">
        <v>110000</v>
      </c>
      <c r="R107">
        <v>2</v>
      </c>
    </row>
    <row r="108" spans="16:18" x14ac:dyDescent="0.25">
      <c r="P108" s="10">
        <v>1087</v>
      </c>
      <c r="Q108">
        <v>90000</v>
      </c>
      <c r="R108">
        <v>2</v>
      </c>
    </row>
    <row r="109" spans="16:18" x14ac:dyDescent="0.25">
      <c r="P109" s="10">
        <v>1088</v>
      </c>
      <c r="Q109">
        <v>165000</v>
      </c>
      <c r="R109">
        <v>3</v>
      </c>
    </row>
    <row r="110" spans="16:18" x14ac:dyDescent="0.25">
      <c r="P110" s="10">
        <v>1095</v>
      </c>
      <c r="Q110">
        <v>150000</v>
      </c>
      <c r="R110">
        <v>1</v>
      </c>
    </row>
    <row r="111" spans="16:18" x14ac:dyDescent="0.25">
      <c r="P111" s="10">
        <v>1097</v>
      </c>
      <c r="Q111">
        <v>135000</v>
      </c>
      <c r="R111">
        <v>3</v>
      </c>
    </row>
    <row r="112" spans="16:18" x14ac:dyDescent="0.25">
      <c r="P112" s="10">
        <v>1098</v>
      </c>
      <c r="Q112">
        <v>110000</v>
      </c>
      <c r="R112">
        <v>2</v>
      </c>
    </row>
    <row r="113" spans="16:18" x14ac:dyDescent="0.25">
      <c r="P113" s="10">
        <v>1100</v>
      </c>
      <c r="Q113">
        <v>150000</v>
      </c>
      <c r="R113">
        <v>1</v>
      </c>
    </row>
    <row r="114" spans="16:18" x14ac:dyDescent="0.25">
      <c r="P114" s="10">
        <v>1107</v>
      </c>
      <c r="Q114">
        <v>180000</v>
      </c>
      <c r="R114">
        <v>4</v>
      </c>
    </row>
    <row r="115" spans="16:18" x14ac:dyDescent="0.25">
      <c r="P115" s="10">
        <v>1108</v>
      </c>
      <c r="Q115">
        <v>110000</v>
      </c>
      <c r="R115">
        <v>2</v>
      </c>
    </row>
    <row r="116" spans="16:18" x14ac:dyDescent="0.25">
      <c r="P116" s="10">
        <v>1116</v>
      </c>
      <c r="Q116">
        <v>135000</v>
      </c>
      <c r="R116">
        <v>3</v>
      </c>
    </row>
    <row r="117" spans="16:18" x14ac:dyDescent="0.25">
      <c r="P117" s="10">
        <v>1120</v>
      </c>
      <c r="Q117">
        <v>165000</v>
      </c>
      <c r="R117">
        <v>3</v>
      </c>
    </row>
    <row r="118" spans="16:18" x14ac:dyDescent="0.25">
      <c r="P118" s="10">
        <v>1125</v>
      </c>
      <c r="Q118">
        <v>150000</v>
      </c>
      <c r="R118">
        <v>1</v>
      </c>
    </row>
    <row r="119" spans="16:18" x14ac:dyDescent="0.25">
      <c r="P119" s="10">
        <v>1126</v>
      </c>
      <c r="Q119">
        <v>180000</v>
      </c>
      <c r="R119">
        <v>4</v>
      </c>
    </row>
    <row r="120" spans="16:18" x14ac:dyDescent="0.25">
      <c r="P120" s="10">
        <v>1130</v>
      </c>
      <c r="Q120">
        <v>150000</v>
      </c>
      <c r="R120">
        <v>1</v>
      </c>
    </row>
    <row r="121" spans="16:18" x14ac:dyDescent="0.25">
      <c r="P121" s="10" t="s">
        <v>39</v>
      </c>
      <c r="Q121">
        <v>146951.21951219512</v>
      </c>
      <c r="R121">
        <v>2.2195121951219514</v>
      </c>
    </row>
  </sheetData>
  <pageMargins left="0.7" right="0.7" top="0.75" bottom="0.75" header="0.3" footer="0.3"/>
  <pageSetup paperSize="9" orientation="portrait" r:id="rId10"/>
  <drawing r:id="rId11"/>
  <extLst>
    <ext xmlns:x14="http://schemas.microsoft.com/office/spreadsheetml/2009/9/main" uri="{A8765BA9-456A-4dab-B4F3-ACF838C121DE}">
      <x14:slicerList>
        <x14:slicer r:id="rId12"/>
      </x14:slicerList>
    </ext>
    <ext xmlns:x15="http://schemas.microsoft.com/office/spreadsheetml/2010/11/main" uri="{7E03D99C-DC04-49d9-9315-930204A7B6E9}">
      <x15:timelineRefs>
        <x15:timelineRef r:id="rId13"/>
      </x15:timelineRef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034D7E-77F6-41D9-87A6-28712DC75149}">
  <dimension ref="B1:F11"/>
  <sheetViews>
    <sheetView workbookViewId="0">
      <selection activeCell="F4" sqref="F4"/>
    </sheetView>
  </sheetViews>
  <sheetFormatPr defaultRowHeight="15" x14ac:dyDescent="0.25"/>
  <cols>
    <col min="1" max="1" width="18.42578125" bestFit="1" customWidth="1"/>
    <col min="2" max="2" width="10.28515625" bestFit="1" customWidth="1"/>
    <col min="4" max="5" width="18.42578125" bestFit="1" customWidth="1"/>
    <col min="6" max="6" width="49.28515625" bestFit="1" customWidth="1"/>
  </cols>
  <sheetData>
    <row r="1" spans="2:6" x14ac:dyDescent="0.25">
      <c r="B1" s="1" t="s">
        <v>58</v>
      </c>
      <c r="C1" s="1" t="s">
        <v>57</v>
      </c>
      <c r="D1" s="1" t="s">
        <v>59</v>
      </c>
      <c r="F1" s="7" t="s">
        <v>99</v>
      </c>
    </row>
    <row r="2" spans="2:6" x14ac:dyDescent="0.25">
      <c r="B2" s="17">
        <v>500000</v>
      </c>
      <c r="C2" s="17">
        <v>300000</v>
      </c>
      <c r="D2" s="7" t="s">
        <v>61</v>
      </c>
      <c r="F2" s="7" t="s">
        <v>103</v>
      </c>
    </row>
    <row r="3" spans="2:6" x14ac:dyDescent="0.25">
      <c r="B3" s="18">
        <v>750000</v>
      </c>
      <c r="C3" s="18">
        <v>240000</v>
      </c>
      <c r="D3" s="4">
        <f>SUM(B2:B11)</f>
        <v>3035000</v>
      </c>
      <c r="F3" s="7" t="s">
        <v>116</v>
      </c>
    </row>
    <row r="4" spans="2:6" x14ac:dyDescent="0.25">
      <c r="B4" s="17">
        <v>240000</v>
      </c>
      <c r="C4" s="17">
        <v>375000</v>
      </c>
      <c r="F4" s="3"/>
    </row>
    <row r="5" spans="2:6" x14ac:dyDescent="0.25">
      <c r="B5" s="18">
        <v>300000</v>
      </c>
      <c r="C5" s="18">
        <v>500000</v>
      </c>
    </row>
    <row r="6" spans="2:6" x14ac:dyDescent="0.25">
      <c r="B6" s="17">
        <v>150000</v>
      </c>
      <c r="C6" s="17">
        <v>150000</v>
      </c>
      <c r="D6" s="7" t="s">
        <v>60</v>
      </c>
    </row>
    <row r="7" spans="2:6" x14ac:dyDescent="0.25">
      <c r="B7" s="18">
        <v>360000</v>
      </c>
      <c r="C7" s="18">
        <v>180000</v>
      </c>
      <c r="D7" s="4">
        <f>SUM(C2:C11)</f>
        <v>3190000</v>
      </c>
    </row>
    <row r="8" spans="2:6" x14ac:dyDescent="0.25">
      <c r="B8" s="17">
        <v>135000</v>
      </c>
      <c r="C8" s="17">
        <v>255000</v>
      </c>
    </row>
    <row r="9" spans="2:6" x14ac:dyDescent="0.25">
      <c r="B9" s="18">
        <v>110000</v>
      </c>
      <c r="C9" s="18">
        <v>500000</v>
      </c>
    </row>
    <row r="10" spans="2:6" x14ac:dyDescent="0.25">
      <c r="B10" s="17">
        <v>340000</v>
      </c>
      <c r="C10" s="17">
        <v>540000</v>
      </c>
    </row>
    <row r="11" spans="2:6" x14ac:dyDescent="0.25">
      <c r="B11" s="18">
        <v>150000</v>
      </c>
      <c r="C11" s="18">
        <v>150000</v>
      </c>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92C81C-4F87-4ED2-BE19-7CA9704E4ABD}">
  <sheetPr codeName="Sheet2"/>
  <dimension ref="A1:M60"/>
  <sheetViews>
    <sheetView workbookViewId="0">
      <selection activeCell="J2" sqref="J2"/>
    </sheetView>
  </sheetViews>
  <sheetFormatPr defaultRowHeight="15" x14ac:dyDescent="0.25"/>
  <cols>
    <col min="1" max="1" width="5" style="3" bestFit="1" customWidth="1"/>
    <col min="2" max="2" width="10.7109375" style="3" bestFit="1" customWidth="1"/>
    <col min="3" max="3" width="6.140625" style="3" bestFit="1" customWidth="1"/>
    <col min="4" max="5" width="11.28515625" style="3" bestFit="1" customWidth="1"/>
    <col min="6" max="6" width="2" style="3" bestFit="1" customWidth="1"/>
    <col min="7" max="8" width="7.5703125" style="3" bestFit="1" customWidth="1"/>
    <col min="10" max="10" width="19.7109375" bestFit="1" customWidth="1"/>
    <col min="12" max="12" width="3.140625" bestFit="1" customWidth="1"/>
    <col min="13" max="13" width="68" bestFit="1" customWidth="1"/>
    <col min="14" max="14" width="6.140625" bestFit="1" customWidth="1"/>
    <col min="15" max="16" width="11.28515625" bestFit="1" customWidth="1"/>
    <col min="17" max="17" width="2" bestFit="1" customWidth="1"/>
    <col min="18" max="19" width="7" bestFit="1" customWidth="1"/>
  </cols>
  <sheetData>
    <row r="1" spans="1:13" x14ac:dyDescent="0.25">
      <c r="A1" s="3">
        <v>1071</v>
      </c>
      <c r="B1" s="6">
        <v>45363</v>
      </c>
      <c r="C1" s="3" t="s">
        <v>20</v>
      </c>
      <c r="D1" s="3" t="s">
        <v>6</v>
      </c>
      <c r="E1" s="3" t="s">
        <v>15</v>
      </c>
      <c r="F1" s="3">
        <v>3</v>
      </c>
      <c r="G1" s="16">
        <v>75000</v>
      </c>
      <c r="H1" s="16">
        <f>F1*G1</f>
        <v>225000</v>
      </c>
      <c r="J1" s="19" t="s">
        <v>114</v>
      </c>
      <c r="L1" s="15"/>
      <c r="M1" s="7" t="s">
        <v>99</v>
      </c>
    </row>
    <row r="2" spans="1:13" x14ac:dyDescent="0.25">
      <c r="A2" s="3">
        <v>1072</v>
      </c>
      <c r="B2" s="6">
        <v>45364</v>
      </c>
      <c r="C2" s="3" t="s">
        <v>20</v>
      </c>
      <c r="D2" s="3" t="s">
        <v>6</v>
      </c>
      <c r="E2" s="3" t="s">
        <v>15</v>
      </c>
      <c r="F2" s="3">
        <v>5</v>
      </c>
      <c r="G2" s="16">
        <v>75000</v>
      </c>
      <c r="H2" s="16">
        <f t="shared" ref="H2:H60" si="0">F2*G2</f>
        <v>375000</v>
      </c>
      <c r="J2" s="7" t="str" cm="1">
        <f t="array" ref="J2">_xlfn._xlws.FILTER(A1:A60,(COUNTIF(A1:A60,A1:A60))&gt;1,"Tidak ada yg duplikat")</f>
        <v>Tidak ada yg duplikat</v>
      </c>
      <c r="L2" s="15"/>
      <c r="M2" s="1" t="s">
        <v>115</v>
      </c>
    </row>
    <row r="3" spans="1:13" x14ac:dyDescent="0.25">
      <c r="A3" s="3">
        <v>1073</v>
      </c>
      <c r="B3" s="6">
        <v>45365</v>
      </c>
      <c r="C3" s="3" t="s">
        <v>20</v>
      </c>
      <c r="D3" s="3" t="s">
        <v>6</v>
      </c>
      <c r="E3" s="3" t="s">
        <v>51</v>
      </c>
      <c r="F3" s="3">
        <v>2</v>
      </c>
      <c r="G3" s="16">
        <v>180000</v>
      </c>
      <c r="H3" s="16">
        <f t="shared" si="0"/>
        <v>360000</v>
      </c>
      <c r="J3" s="19"/>
      <c r="L3" s="15"/>
      <c r="M3" s="1" t="s">
        <v>100</v>
      </c>
    </row>
    <row r="4" spans="1:13" x14ac:dyDescent="0.25">
      <c r="A4" s="3">
        <v>1074</v>
      </c>
      <c r="B4" s="6">
        <v>45366</v>
      </c>
      <c r="C4" s="3" t="s">
        <v>20</v>
      </c>
      <c r="D4" s="3" t="s">
        <v>6</v>
      </c>
      <c r="E4" s="3" t="s">
        <v>51</v>
      </c>
      <c r="F4" s="3">
        <v>4</v>
      </c>
      <c r="G4" s="16">
        <v>180000</v>
      </c>
      <c r="H4" s="16">
        <f t="shared" si="0"/>
        <v>720000</v>
      </c>
      <c r="J4" s="19"/>
      <c r="L4" s="15"/>
      <c r="M4" s="1" t="s">
        <v>101</v>
      </c>
    </row>
    <row r="5" spans="1:13" x14ac:dyDescent="0.25">
      <c r="A5" s="3">
        <v>1075</v>
      </c>
      <c r="B5" s="6">
        <v>45367</v>
      </c>
      <c r="C5" s="3" t="s">
        <v>20</v>
      </c>
      <c r="D5" s="3" t="s">
        <v>6</v>
      </c>
      <c r="E5" s="3" t="s">
        <v>5</v>
      </c>
      <c r="F5" s="3">
        <v>1</v>
      </c>
      <c r="G5" s="16">
        <v>150000</v>
      </c>
      <c r="H5" s="16">
        <f t="shared" si="0"/>
        <v>150000</v>
      </c>
      <c r="J5" s="19"/>
      <c r="L5" s="15"/>
      <c r="M5" s="1" t="s">
        <v>102</v>
      </c>
    </row>
    <row r="6" spans="1:13" x14ac:dyDescent="0.25">
      <c r="A6" s="3">
        <v>1076</v>
      </c>
      <c r="B6" s="6">
        <v>45368</v>
      </c>
      <c r="C6" s="3" t="s">
        <v>20</v>
      </c>
      <c r="D6" s="3" t="s">
        <v>8</v>
      </c>
      <c r="E6" s="3" t="s">
        <v>17</v>
      </c>
      <c r="F6" s="3">
        <v>3</v>
      </c>
      <c r="G6" s="16">
        <v>45000</v>
      </c>
      <c r="H6" s="16">
        <f t="shared" si="0"/>
        <v>135000</v>
      </c>
      <c r="J6" s="19"/>
      <c r="L6" s="15"/>
    </row>
    <row r="7" spans="1:13" x14ac:dyDescent="0.25">
      <c r="A7" s="3">
        <v>1077</v>
      </c>
      <c r="B7" s="6">
        <v>45369</v>
      </c>
      <c r="C7" s="3" t="s">
        <v>20</v>
      </c>
      <c r="D7" s="3" t="s">
        <v>8</v>
      </c>
      <c r="E7" s="3" t="s">
        <v>7</v>
      </c>
      <c r="F7" s="3">
        <v>2</v>
      </c>
      <c r="G7" s="16">
        <v>55000</v>
      </c>
      <c r="H7" s="16">
        <f t="shared" si="0"/>
        <v>110000</v>
      </c>
      <c r="J7" s="19"/>
      <c r="L7" s="15"/>
    </row>
    <row r="8" spans="1:13" x14ac:dyDescent="0.25">
      <c r="A8" s="3">
        <v>1078</v>
      </c>
      <c r="B8" s="6">
        <v>45370</v>
      </c>
      <c r="C8" s="3" t="s">
        <v>20</v>
      </c>
      <c r="D8" s="3" t="s">
        <v>11</v>
      </c>
      <c r="E8" s="3" t="s">
        <v>19</v>
      </c>
      <c r="F8" s="3">
        <v>4</v>
      </c>
      <c r="G8" s="16">
        <v>85000</v>
      </c>
      <c r="H8" s="16">
        <f t="shared" si="0"/>
        <v>340000</v>
      </c>
      <c r="J8" s="19"/>
      <c r="L8" s="15"/>
    </row>
    <row r="9" spans="1:13" x14ac:dyDescent="0.25">
      <c r="A9" s="3">
        <v>1079</v>
      </c>
      <c r="B9" s="6">
        <v>45371</v>
      </c>
      <c r="C9" s="3" t="s">
        <v>20</v>
      </c>
      <c r="D9" s="3" t="s">
        <v>11</v>
      </c>
      <c r="E9" s="3" t="s">
        <v>16</v>
      </c>
      <c r="F9" s="3">
        <v>2</v>
      </c>
      <c r="G9" s="16">
        <v>150000</v>
      </c>
      <c r="H9" s="16">
        <f t="shared" si="0"/>
        <v>300000</v>
      </c>
      <c r="J9" s="19"/>
    </row>
    <row r="10" spans="1:13" x14ac:dyDescent="0.25">
      <c r="A10" s="3">
        <v>1080</v>
      </c>
      <c r="B10" s="6">
        <v>45372</v>
      </c>
      <c r="C10" s="3" t="s">
        <v>20</v>
      </c>
      <c r="D10" s="3" t="s">
        <v>11</v>
      </c>
      <c r="E10" s="3" t="s">
        <v>10</v>
      </c>
      <c r="F10" s="3">
        <v>1</v>
      </c>
      <c r="G10" s="16">
        <v>250000</v>
      </c>
      <c r="H10" s="16">
        <f t="shared" si="0"/>
        <v>250000</v>
      </c>
      <c r="J10" s="19"/>
    </row>
    <row r="11" spans="1:13" x14ac:dyDescent="0.25">
      <c r="A11" s="3">
        <v>1081</v>
      </c>
      <c r="B11" s="6">
        <v>45373</v>
      </c>
      <c r="C11" s="3" t="s">
        <v>20</v>
      </c>
      <c r="D11" s="3" t="s">
        <v>13</v>
      </c>
      <c r="E11" s="3" t="s">
        <v>18</v>
      </c>
      <c r="F11" s="3">
        <v>2</v>
      </c>
      <c r="G11" s="16">
        <v>250000</v>
      </c>
      <c r="H11" s="16">
        <f t="shared" si="0"/>
        <v>500000</v>
      </c>
      <c r="J11" s="19"/>
    </row>
    <row r="12" spans="1:13" x14ac:dyDescent="0.25">
      <c r="A12" s="3">
        <v>1082</v>
      </c>
      <c r="B12" s="6">
        <v>45374</v>
      </c>
      <c r="C12" s="3" t="s">
        <v>20</v>
      </c>
      <c r="D12" s="3" t="s">
        <v>13</v>
      </c>
      <c r="E12" s="3" t="s">
        <v>52</v>
      </c>
      <c r="F12" s="3">
        <v>3</v>
      </c>
      <c r="G12" s="16">
        <v>120000</v>
      </c>
      <c r="H12" s="16">
        <f t="shared" si="0"/>
        <v>360000</v>
      </c>
      <c r="J12" s="19"/>
    </row>
    <row r="13" spans="1:13" x14ac:dyDescent="0.25">
      <c r="A13" s="3">
        <v>1083</v>
      </c>
      <c r="B13" s="6">
        <v>45375</v>
      </c>
      <c r="C13" s="3" t="s">
        <v>9</v>
      </c>
      <c r="D13" s="3" t="s">
        <v>6</v>
      </c>
      <c r="E13" s="3" t="s">
        <v>15</v>
      </c>
      <c r="F13" s="3">
        <v>4</v>
      </c>
      <c r="G13" s="16">
        <v>75000</v>
      </c>
      <c r="H13" s="16">
        <f t="shared" si="0"/>
        <v>300000</v>
      </c>
      <c r="J13" s="19"/>
    </row>
    <row r="14" spans="1:13" x14ac:dyDescent="0.25">
      <c r="A14" s="3">
        <v>1084</v>
      </c>
      <c r="B14" s="6">
        <v>45376</v>
      </c>
      <c r="C14" s="3" t="s">
        <v>9</v>
      </c>
      <c r="D14" s="3" t="s">
        <v>6</v>
      </c>
      <c r="E14" s="3" t="s">
        <v>15</v>
      </c>
      <c r="F14" s="3">
        <v>5</v>
      </c>
      <c r="G14" s="16">
        <v>75000</v>
      </c>
      <c r="H14" s="16">
        <f t="shared" si="0"/>
        <v>375000</v>
      </c>
      <c r="J14" s="19"/>
    </row>
    <row r="15" spans="1:13" x14ac:dyDescent="0.25">
      <c r="A15" s="3">
        <v>1085</v>
      </c>
      <c r="B15" s="6">
        <v>45377</v>
      </c>
      <c r="C15" s="3" t="s">
        <v>9</v>
      </c>
      <c r="D15" s="3" t="s">
        <v>6</v>
      </c>
      <c r="E15" s="3" t="s">
        <v>5</v>
      </c>
      <c r="F15" s="3">
        <v>2</v>
      </c>
      <c r="G15" s="16">
        <v>150000</v>
      </c>
      <c r="H15" s="16">
        <f t="shared" si="0"/>
        <v>300000</v>
      </c>
      <c r="J15" s="19"/>
    </row>
    <row r="16" spans="1:13" x14ac:dyDescent="0.25">
      <c r="A16" s="3">
        <v>1086</v>
      </c>
      <c r="B16" s="6">
        <v>45378</v>
      </c>
      <c r="C16" s="3" t="s">
        <v>9</v>
      </c>
      <c r="D16" s="3" t="s">
        <v>6</v>
      </c>
      <c r="E16" s="3" t="s">
        <v>51</v>
      </c>
      <c r="F16" s="3">
        <v>3</v>
      </c>
      <c r="G16" s="16">
        <v>180000</v>
      </c>
      <c r="H16" s="16">
        <f t="shared" si="0"/>
        <v>540000</v>
      </c>
      <c r="J16" s="19"/>
    </row>
    <row r="17" spans="1:10" x14ac:dyDescent="0.25">
      <c r="A17" s="3">
        <v>1087</v>
      </c>
      <c r="B17" s="6">
        <v>45379</v>
      </c>
      <c r="C17" s="3" t="s">
        <v>9</v>
      </c>
      <c r="D17" s="3" t="s">
        <v>8</v>
      </c>
      <c r="E17" s="3" t="s">
        <v>17</v>
      </c>
      <c r="F17" s="3">
        <v>2</v>
      </c>
      <c r="G17" s="16">
        <v>45000</v>
      </c>
      <c r="H17" s="16">
        <f t="shared" si="0"/>
        <v>90000</v>
      </c>
      <c r="J17" s="19"/>
    </row>
    <row r="18" spans="1:10" x14ac:dyDescent="0.25">
      <c r="A18" s="3">
        <v>1088</v>
      </c>
      <c r="B18" s="6">
        <v>45380</v>
      </c>
      <c r="C18" s="3" t="s">
        <v>9</v>
      </c>
      <c r="D18" s="3" t="s">
        <v>8</v>
      </c>
      <c r="E18" s="3" t="s">
        <v>7</v>
      </c>
      <c r="F18" s="3">
        <v>3</v>
      </c>
      <c r="G18" s="16">
        <v>55000</v>
      </c>
      <c r="H18" s="16">
        <f t="shared" si="0"/>
        <v>165000</v>
      </c>
      <c r="J18" s="19"/>
    </row>
    <row r="19" spans="1:10" x14ac:dyDescent="0.25">
      <c r="A19" s="3">
        <v>1089</v>
      </c>
      <c r="B19" s="6">
        <v>45381</v>
      </c>
      <c r="C19" s="3" t="s">
        <v>9</v>
      </c>
      <c r="D19" s="3" t="s">
        <v>11</v>
      </c>
      <c r="E19" s="3" t="s">
        <v>19</v>
      </c>
      <c r="F19" s="3">
        <v>5</v>
      </c>
      <c r="G19" s="16">
        <v>85000</v>
      </c>
      <c r="H19" s="16">
        <f t="shared" si="0"/>
        <v>425000</v>
      </c>
      <c r="J19" s="19"/>
    </row>
    <row r="20" spans="1:10" x14ac:dyDescent="0.25">
      <c r="A20" s="3">
        <v>1090</v>
      </c>
      <c r="B20" s="6">
        <v>45382</v>
      </c>
      <c r="C20" s="3" t="s">
        <v>9</v>
      </c>
      <c r="D20" s="3" t="s">
        <v>11</v>
      </c>
      <c r="E20" s="3" t="s">
        <v>16</v>
      </c>
      <c r="F20" s="3">
        <v>2</v>
      </c>
      <c r="G20" s="16">
        <v>150000</v>
      </c>
      <c r="H20" s="16">
        <f t="shared" si="0"/>
        <v>300000</v>
      </c>
      <c r="J20" s="19"/>
    </row>
    <row r="21" spans="1:10" x14ac:dyDescent="0.25">
      <c r="A21" s="3">
        <v>1091</v>
      </c>
      <c r="B21" s="6">
        <v>45383</v>
      </c>
      <c r="C21" s="3" t="s">
        <v>9</v>
      </c>
      <c r="D21" s="3" t="s">
        <v>11</v>
      </c>
      <c r="E21" s="3" t="s">
        <v>10</v>
      </c>
      <c r="F21" s="3">
        <v>2</v>
      </c>
      <c r="G21" s="16">
        <v>250000</v>
      </c>
      <c r="H21" s="16">
        <f t="shared" si="0"/>
        <v>500000</v>
      </c>
      <c r="J21" s="19"/>
    </row>
    <row r="22" spans="1:10" x14ac:dyDescent="0.25">
      <c r="A22" s="3">
        <v>1092</v>
      </c>
      <c r="B22" s="6">
        <v>45384</v>
      </c>
      <c r="C22" s="3" t="s">
        <v>9</v>
      </c>
      <c r="D22" s="3" t="s">
        <v>13</v>
      </c>
      <c r="E22" s="3" t="s">
        <v>18</v>
      </c>
      <c r="F22" s="3">
        <v>3</v>
      </c>
      <c r="G22" s="16">
        <v>250000</v>
      </c>
      <c r="H22" s="16">
        <f t="shared" si="0"/>
        <v>750000</v>
      </c>
      <c r="J22" s="19"/>
    </row>
    <row r="23" spans="1:10" x14ac:dyDescent="0.25">
      <c r="A23" s="3">
        <v>1093</v>
      </c>
      <c r="B23" s="6">
        <v>45385</v>
      </c>
      <c r="C23" s="3" t="s">
        <v>9</v>
      </c>
      <c r="D23" s="3" t="s">
        <v>13</v>
      </c>
      <c r="E23" s="3" t="s">
        <v>52</v>
      </c>
      <c r="F23" s="3">
        <v>2</v>
      </c>
      <c r="G23" s="16">
        <v>120000</v>
      </c>
      <c r="H23" s="16">
        <f t="shared" si="0"/>
        <v>240000</v>
      </c>
      <c r="J23" s="19"/>
    </row>
    <row r="24" spans="1:10" x14ac:dyDescent="0.25">
      <c r="A24" s="3">
        <v>1094</v>
      </c>
      <c r="B24" s="6">
        <v>45386</v>
      </c>
      <c r="C24" s="3" t="s">
        <v>14</v>
      </c>
      <c r="D24" s="3" t="s">
        <v>6</v>
      </c>
      <c r="E24" s="3" t="s">
        <v>15</v>
      </c>
      <c r="F24" s="3">
        <v>4</v>
      </c>
      <c r="G24" s="16">
        <v>75000</v>
      </c>
      <c r="H24" s="16">
        <f t="shared" si="0"/>
        <v>300000</v>
      </c>
      <c r="J24" s="19"/>
    </row>
    <row r="25" spans="1:10" x14ac:dyDescent="0.25">
      <c r="A25" s="3">
        <v>1095</v>
      </c>
      <c r="B25" s="6">
        <v>45387</v>
      </c>
      <c r="C25" s="3" t="s">
        <v>14</v>
      </c>
      <c r="D25" s="3" t="s">
        <v>6</v>
      </c>
      <c r="E25" s="3" t="s">
        <v>5</v>
      </c>
      <c r="F25" s="3">
        <v>1</v>
      </c>
      <c r="G25" s="16">
        <v>150000</v>
      </c>
      <c r="H25" s="16">
        <f t="shared" si="0"/>
        <v>150000</v>
      </c>
      <c r="J25" s="19"/>
    </row>
    <row r="26" spans="1:10" x14ac:dyDescent="0.25">
      <c r="A26" s="3">
        <v>1096</v>
      </c>
      <c r="B26" s="6">
        <v>45388</v>
      </c>
      <c r="C26" s="3" t="s">
        <v>14</v>
      </c>
      <c r="D26" s="3" t="s">
        <v>6</v>
      </c>
      <c r="E26" s="3" t="s">
        <v>51</v>
      </c>
      <c r="F26" s="3">
        <v>2</v>
      </c>
      <c r="G26" s="16">
        <v>180000</v>
      </c>
      <c r="H26" s="16">
        <f t="shared" si="0"/>
        <v>360000</v>
      </c>
      <c r="J26" s="19"/>
    </row>
    <row r="27" spans="1:10" x14ac:dyDescent="0.25">
      <c r="A27" s="3">
        <v>1097</v>
      </c>
      <c r="B27" s="6">
        <v>45389</v>
      </c>
      <c r="C27" s="3" t="s">
        <v>14</v>
      </c>
      <c r="D27" s="3" t="s">
        <v>8</v>
      </c>
      <c r="E27" s="3" t="s">
        <v>17</v>
      </c>
      <c r="F27" s="3">
        <v>3</v>
      </c>
      <c r="G27" s="16">
        <v>45000</v>
      </c>
      <c r="H27" s="16">
        <f t="shared" si="0"/>
        <v>135000</v>
      </c>
      <c r="J27" s="19"/>
    </row>
    <row r="28" spans="1:10" x14ac:dyDescent="0.25">
      <c r="A28" s="3">
        <v>1098</v>
      </c>
      <c r="B28" s="6">
        <v>45390</v>
      </c>
      <c r="C28" s="3" t="s">
        <v>14</v>
      </c>
      <c r="D28" s="3" t="s">
        <v>8</v>
      </c>
      <c r="E28" s="3" t="s">
        <v>7</v>
      </c>
      <c r="F28" s="3">
        <v>2</v>
      </c>
      <c r="G28" s="16">
        <v>55000</v>
      </c>
      <c r="H28" s="16">
        <f t="shared" si="0"/>
        <v>110000</v>
      </c>
      <c r="J28" s="19"/>
    </row>
    <row r="29" spans="1:10" x14ac:dyDescent="0.25">
      <c r="A29" s="3">
        <v>1099</v>
      </c>
      <c r="B29" s="6">
        <v>45391</v>
      </c>
      <c r="C29" s="3" t="s">
        <v>14</v>
      </c>
      <c r="D29" s="3" t="s">
        <v>11</v>
      </c>
      <c r="E29" s="3" t="s">
        <v>19</v>
      </c>
      <c r="F29" s="3">
        <v>4</v>
      </c>
      <c r="G29" s="16">
        <v>85000</v>
      </c>
      <c r="H29" s="16">
        <f t="shared" si="0"/>
        <v>340000</v>
      </c>
      <c r="J29" s="19"/>
    </row>
    <row r="30" spans="1:10" x14ac:dyDescent="0.25">
      <c r="A30" s="3">
        <v>1100</v>
      </c>
      <c r="B30" s="6">
        <v>45392</v>
      </c>
      <c r="C30" s="3" t="s">
        <v>14</v>
      </c>
      <c r="D30" s="3" t="s">
        <v>11</v>
      </c>
      <c r="E30" s="3" t="s">
        <v>16</v>
      </c>
      <c r="F30" s="3">
        <v>1</v>
      </c>
      <c r="G30" s="16">
        <v>150000</v>
      </c>
      <c r="H30" s="16">
        <f t="shared" si="0"/>
        <v>150000</v>
      </c>
      <c r="J30" s="19"/>
    </row>
    <row r="31" spans="1:10" x14ac:dyDescent="0.25">
      <c r="A31" s="3">
        <v>1101</v>
      </c>
      <c r="B31" s="6">
        <v>45393</v>
      </c>
      <c r="C31" s="3" t="s">
        <v>14</v>
      </c>
      <c r="D31" s="3" t="s">
        <v>11</v>
      </c>
      <c r="E31" s="3" t="s">
        <v>10</v>
      </c>
      <c r="F31" s="3">
        <v>2</v>
      </c>
      <c r="G31" s="16">
        <v>250000</v>
      </c>
      <c r="H31" s="16">
        <f t="shared" si="0"/>
        <v>500000</v>
      </c>
      <c r="J31" s="19"/>
    </row>
    <row r="32" spans="1:10" x14ac:dyDescent="0.25">
      <c r="A32" s="3">
        <v>1102</v>
      </c>
      <c r="B32" s="6">
        <v>45394</v>
      </c>
      <c r="C32" s="3" t="s">
        <v>14</v>
      </c>
      <c r="D32" s="3" t="s">
        <v>13</v>
      </c>
      <c r="E32" s="3" t="s">
        <v>18</v>
      </c>
      <c r="F32" s="3">
        <v>2</v>
      </c>
      <c r="G32" s="16">
        <v>250000</v>
      </c>
      <c r="H32" s="16">
        <f t="shared" si="0"/>
        <v>500000</v>
      </c>
      <c r="J32" s="19"/>
    </row>
    <row r="33" spans="1:10" x14ac:dyDescent="0.25">
      <c r="A33" s="3">
        <v>1103</v>
      </c>
      <c r="B33" s="6">
        <v>45395</v>
      </c>
      <c r="C33" s="3" t="s">
        <v>14</v>
      </c>
      <c r="D33" s="3" t="s">
        <v>13</v>
      </c>
      <c r="E33" s="3" t="s">
        <v>52</v>
      </c>
      <c r="F33" s="3">
        <v>3</v>
      </c>
      <c r="G33" s="16">
        <v>120000</v>
      </c>
      <c r="H33" s="16">
        <f t="shared" si="0"/>
        <v>360000</v>
      </c>
      <c r="J33" s="19"/>
    </row>
    <row r="34" spans="1:10" x14ac:dyDescent="0.25">
      <c r="A34" s="3">
        <v>1104</v>
      </c>
      <c r="B34" s="6">
        <v>45396</v>
      </c>
      <c r="C34" s="3" t="s">
        <v>12</v>
      </c>
      <c r="D34" s="3" t="s">
        <v>6</v>
      </c>
      <c r="E34" s="3" t="s">
        <v>15</v>
      </c>
      <c r="F34" s="3">
        <v>5</v>
      </c>
      <c r="G34" s="16">
        <v>75000</v>
      </c>
      <c r="H34" s="16">
        <f t="shared" si="0"/>
        <v>375000</v>
      </c>
      <c r="J34" s="19"/>
    </row>
    <row r="35" spans="1:10" x14ac:dyDescent="0.25">
      <c r="A35" s="3">
        <v>1105</v>
      </c>
      <c r="B35" s="6">
        <v>45397</v>
      </c>
      <c r="C35" s="3" t="s">
        <v>12</v>
      </c>
      <c r="D35" s="3" t="s">
        <v>6</v>
      </c>
      <c r="E35" s="3" t="s">
        <v>5</v>
      </c>
      <c r="F35" s="3">
        <v>2</v>
      </c>
      <c r="G35" s="16">
        <v>150000</v>
      </c>
      <c r="H35" s="16">
        <f t="shared" si="0"/>
        <v>300000</v>
      </c>
      <c r="J35" s="19"/>
    </row>
    <row r="36" spans="1:10" x14ac:dyDescent="0.25">
      <c r="A36" s="3">
        <v>1106</v>
      </c>
      <c r="B36" s="6">
        <v>45398</v>
      </c>
      <c r="C36" s="3" t="s">
        <v>12</v>
      </c>
      <c r="D36" s="3" t="s">
        <v>6</v>
      </c>
      <c r="E36" s="3" t="s">
        <v>51</v>
      </c>
      <c r="F36" s="3">
        <v>3</v>
      </c>
      <c r="G36" s="16">
        <v>180000</v>
      </c>
      <c r="H36" s="16">
        <f t="shared" si="0"/>
        <v>540000</v>
      </c>
      <c r="J36" s="19"/>
    </row>
    <row r="37" spans="1:10" x14ac:dyDescent="0.25">
      <c r="A37" s="3">
        <v>1107</v>
      </c>
      <c r="B37" s="6">
        <v>45399</v>
      </c>
      <c r="C37" s="3" t="s">
        <v>12</v>
      </c>
      <c r="D37" s="3" t="s">
        <v>8</v>
      </c>
      <c r="E37" s="3" t="s">
        <v>17</v>
      </c>
      <c r="F37" s="3">
        <v>4</v>
      </c>
      <c r="G37" s="16">
        <v>45000</v>
      </c>
      <c r="H37" s="16">
        <f t="shared" si="0"/>
        <v>180000</v>
      </c>
      <c r="J37" s="19"/>
    </row>
    <row r="38" spans="1:10" x14ac:dyDescent="0.25">
      <c r="A38" s="3">
        <v>1108</v>
      </c>
      <c r="B38" s="6">
        <v>45400</v>
      </c>
      <c r="C38" s="3" t="s">
        <v>12</v>
      </c>
      <c r="D38" s="3" t="s">
        <v>8</v>
      </c>
      <c r="E38" s="3" t="s">
        <v>7</v>
      </c>
      <c r="F38" s="3">
        <v>2</v>
      </c>
      <c r="G38" s="16">
        <v>55000</v>
      </c>
      <c r="H38" s="16">
        <f t="shared" si="0"/>
        <v>110000</v>
      </c>
      <c r="J38" s="19"/>
    </row>
    <row r="39" spans="1:10" x14ac:dyDescent="0.25">
      <c r="A39" s="3">
        <v>1109</v>
      </c>
      <c r="B39" s="6">
        <v>45401</v>
      </c>
      <c r="C39" s="3" t="s">
        <v>12</v>
      </c>
      <c r="D39" s="3" t="s">
        <v>11</v>
      </c>
      <c r="E39" s="3" t="s">
        <v>19</v>
      </c>
      <c r="F39" s="3">
        <v>3</v>
      </c>
      <c r="G39" s="16">
        <v>85000</v>
      </c>
      <c r="H39" s="16">
        <f t="shared" si="0"/>
        <v>255000</v>
      </c>
      <c r="J39" s="19"/>
    </row>
    <row r="40" spans="1:10" x14ac:dyDescent="0.25">
      <c r="A40" s="3">
        <v>1110</v>
      </c>
      <c r="B40" s="6">
        <v>45402</v>
      </c>
      <c r="C40" s="3" t="s">
        <v>12</v>
      </c>
      <c r="D40" s="3" t="s">
        <v>11</v>
      </c>
      <c r="E40" s="3" t="s">
        <v>16</v>
      </c>
      <c r="F40" s="3">
        <v>2</v>
      </c>
      <c r="G40" s="16">
        <v>150000</v>
      </c>
      <c r="H40" s="16">
        <f t="shared" si="0"/>
        <v>300000</v>
      </c>
      <c r="J40" s="19"/>
    </row>
    <row r="41" spans="1:10" x14ac:dyDescent="0.25">
      <c r="A41" s="3">
        <v>1111</v>
      </c>
      <c r="B41" s="6">
        <v>45403</v>
      </c>
      <c r="C41" s="3" t="s">
        <v>12</v>
      </c>
      <c r="D41" s="3" t="s">
        <v>11</v>
      </c>
      <c r="E41" s="3" t="s">
        <v>10</v>
      </c>
      <c r="F41" s="3">
        <v>1</v>
      </c>
      <c r="G41" s="16">
        <v>250000</v>
      </c>
      <c r="H41" s="16">
        <f t="shared" si="0"/>
        <v>250000</v>
      </c>
      <c r="J41" s="19"/>
    </row>
    <row r="42" spans="1:10" x14ac:dyDescent="0.25">
      <c r="A42" s="3">
        <v>1112</v>
      </c>
      <c r="B42" s="6">
        <v>45404</v>
      </c>
      <c r="C42" s="3" t="s">
        <v>12</v>
      </c>
      <c r="D42" s="3" t="s">
        <v>13</v>
      </c>
      <c r="E42" s="3" t="s">
        <v>18</v>
      </c>
      <c r="F42" s="3">
        <v>2</v>
      </c>
      <c r="G42" s="16">
        <v>250000</v>
      </c>
      <c r="H42" s="16">
        <f t="shared" si="0"/>
        <v>500000</v>
      </c>
      <c r="J42" s="19"/>
    </row>
    <row r="43" spans="1:10" x14ac:dyDescent="0.25">
      <c r="A43" s="3">
        <v>1113</v>
      </c>
      <c r="B43" s="6">
        <v>45405</v>
      </c>
      <c r="C43" s="3" t="s">
        <v>12</v>
      </c>
      <c r="D43" s="3" t="s">
        <v>13</v>
      </c>
      <c r="E43" s="3" t="s">
        <v>52</v>
      </c>
      <c r="F43" s="3">
        <v>4</v>
      </c>
      <c r="G43" s="16">
        <v>120000</v>
      </c>
      <c r="H43" s="16">
        <f t="shared" si="0"/>
        <v>480000</v>
      </c>
      <c r="J43" s="19"/>
    </row>
    <row r="44" spans="1:10" x14ac:dyDescent="0.25">
      <c r="A44" s="3">
        <v>1114</v>
      </c>
      <c r="B44" s="6">
        <v>45406</v>
      </c>
      <c r="C44" s="3" t="s">
        <v>20</v>
      </c>
      <c r="D44" s="3" t="s">
        <v>6</v>
      </c>
      <c r="E44" s="3" t="s">
        <v>15</v>
      </c>
      <c r="F44" s="3">
        <v>3</v>
      </c>
      <c r="G44" s="16">
        <v>75000</v>
      </c>
      <c r="H44" s="16">
        <f t="shared" si="0"/>
        <v>225000</v>
      </c>
      <c r="J44" s="19"/>
    </row>
    <row r="45" spans="1:10" x14ac:dyDescent="0.25">
      <c r="A45" s="3">
        <v>1115</v>
      </c>
      <c r="B45" s="6">
        <v>45407</v>
      </c>
      <c r="C45" s="3" t="s">
        <v>20</v>
      </c>
      <c r="D45" s="3" t="s">
        <v>6</v>
      </c>
      <c r="E45" s="3" t="s">
        <v>5</v>
      </c>
      <c r="F45" s="3">
        <v>2</v>
      </c>
      <c r="G45" s="16">
        <v>150000</v>
      </c>
      <c r="H45" s="16">
        <f t="shared" si="0"/>
        <v>300000</v>
      </c>
      <c r="J45" s="19"/>
    </row>
    <row r="46" spans="1:10" x14ac:dyDescent="0.25">
      <c r="A46" s="3">
        <v>1116</v>
      </c>
      <c r="B46" s="6">
        <v>45408</v>
      </c>
      <c r="C46" s="3" t="s">
        <v>20</v>
      </c>
      <c r="D46" s="3" t="s">
        <v>8</v>
      </c>
      <c r="E46" s="3" t="s">
        <v>17</v>
      </c>
      <c r="F46" s="3">
        <v>3</v>
      </c>
      <c r="G46" s="16">
        <v>45000</v>
      </c>
      <c r="H46" s="16">
        <f t="shared" si="0"/>
        <v>135000</v>
      </c>
      <c r="J46" s="19"/>
    </row>
    <row r="47" spans="1:10" x14ac:dyDescent="0.25">
      <c r="A47" s="3">
        <v>1117</v>
      </c>
      <c r="B47" s="6">
        <v>45409</v>
      </c>
      <c r="C47" s="3" t="s">
        <v>20</v>
      </c>
      <c r="D47" s="3" t="s">
        <v>11</v>
      </c>
      <c r="E47" s="3" t="s">
        <v>19</v>
      </c>
      <c r="F47" s="3">
        <v>4</v>
      </c>
      <c r="G47" s="16">
        <v>85000</v>
      </c>
      <c r="H47" s="16">
        <f t="shared" si="0"/>
        <v>340000</v>
      </c>
      <c r="J47" s="19"/>
    </row>
    <row r="48" spans="1:10" x14ac:dyDescent="0.25">
      <c r="A48" s="3">
        <v>1118</v>
      </c>
      <c r="B48" s="6">
        <v>45410</v>
      </c>
      <c r="C48" s="3" t="s">
        <v>20</v>
      </c>
      <c r="D48" s="3" t="s">
        <v>13</v>
      </c>
      <c r="E48" s="3" t="s">
        <v>18</v>
      </c>
      <c r="F48" s="3">
        <v>1</v>
      </c>
      <c r="G48" s="16">
        <v>250000</v>
      </c>
      <c r="H48" s="16">
        <f t="shared" si="0"/>
        <v>250000</v>
      </c>
      <c r="J48" s="19"/>
    </row>
    <row r="49" spans="1:10" x14ac:dyDescent="0.25">
      <c r="A49" s="3">
        <v>1119</v>
      </c>
      <c r="B49" s="6">
        <v>45411</v>
      </c>
      <c r="C49" s="3" t="s">
        <v>9</v>
      </c>
      <c r="D49" s="3" t="s">
        <v>6</v>
      </c>
      <c r="E49" s="3" t="s">
        <v>51</v>
      </c>
      <c r="F49" s="3">
        <v>2</v>
      </c>
      <c r="G49" s="16">
        <v>180000</v>
      </c>
      <c r="H49" s="16">
        <f t="shared" si="0"/>
        <v>360000</v>
      </c>
      <c r="J49" s="19"/>
    </row>
    <row r="50" spans="1:10" x14ac:dyDescent="0.25">
      <c r="A50" s="3">
        <v>1120</v>
      </c>
      <c r="B50" s="6">
        <v>45412</v>
      </c>
      <c r="C50" s="3" t="s">
        <v>9</v>
      </c>
      <c r="D50" s="3" t="s">
        <v>8</v>
      </c>
      <c r="E50" s="3" t="s">
        <v>7</v>
      </c>
      <c r="F50" s="3">
        <v>3</v>
      </c>
      <c r="G50" s="16">
        <v>55000</v>
      </c>
      <c r="H50" s="16">
        <f t="shared" si="0"/>
        <v>165000</v>
      </c>
      <c r="J50" s="19"/>
    </row>
    <row r="51" spans="1:10" x14ac:dyDescent="0.25">
      <c r="A51" s="3">
        <v>1121</v>
      </c>
      <c r="B51" s="6">
        <v>45413</v>
      </c>
      <c r="C51" s="3" t="s">
        <v>14</v>
      </c>
      <c r="D51" s="3" t="s">
        <v>11</v>
      </c>
      <c r="E51" s="3" t="s">
        <v>16</v>
      </c>
      <c r="F51" s="3">
        <v>2</v>
      </c>
      <c r="G51" s="16">
        <v>150000</v>
      </c>
      <c r="H51" s="16">
        <f t="shared" si="0"/>
        <v>300000</v>
      </c>
      <c r="J51" s="19"/>
    </row>
    <row r="52" spans="1:10" x14ac:dyDescent="0.25">
      <c r="A52" s="3">
        <v>1122</v>
      </c>
      <c r="B52" s="6">
        <v>45414</v>
      </c>
      <c r="C52" s="3" t="s">
        <v>12</v>
      </c>
      <c r="D52" s="3" t="s">
        <v>13</v>
      </c>
      <c r="E52" s="3" t="s">
        <v>52</v>
      </c>
      <c r="F52" s="3">
        <v>2</v>
      </c>
      <c r="G52" s="16">
        <v>120000</v>
      </c>
      <c r="H52" s="16">
        <f t="shared" si="0"/>
        <v>240000</v>
      </c>
      <c r="J52" s="19"/>
    </row>
    <row r="53" spans="1:10" x14ac:dyDescent="0.25">
      <c r="A53" s="3">
        <v>1123</v>
      </c>
      <c r="B53" s="6">
        <v>45415</v>
      </c>
      <c r="C53" s="3" t="s">
        <v>20</v>
      </c>
      <c r="D53" s="3" t="s">
        <v>6</v>
      </c>
      <c r="E53" s="3" t="s">
        <v>15</v>
      </c>
      <c r="F53" s="3">
        <v>5</v>
      </c>
      <c r="G53" s="16">
        <v>75000</v>
      </c>
      <c r="H53" s="16">
        <f t="shared" si="0"/>
        <v>375000</v>
      </c>
      <c r="J53" s="19"/>
    </row>
    <row r="54" spans="1:10" x14ac:dyDescent="0.25">
      <c r="A54" s="3">
        <v>1124</v>
      </c>
      <c r="B54" s="6">
        <v>45416</v>
      </c>
      <c r="C54" s="3" t="s">
        <v>9</v>
      </c>
      <c r="D54" s="3" t="s">
        <v>11</v>
      </c>
      <c r="E54" s="3" t="s">
        <v>10</v>
      </c>
      <c r="F54" s="3">
        <v>2</v>
      </c>
      <c r="G54" s="16">
        <v>250000</v>
      </c>
      <c r="H54" s="16">
        <f t="shared" si="0"/>
        <v>500000</v>
      </c>
      <c r="J54" s="19"/>
    </row>
    <row r="55" spans="1:10" x14ac:dyDescent="0.25">
      <c r="A55" s="3">
        <v>1125</v>
      </c>
      <c r="B55" s="6">
        <v>45417</v>
      </c>
      <c r="C55" s="3" t="s">
        <v>14</v>
      </c>
      <c r="D55" s="3" t="s">
        <v>6</v>
      </c>
      <c r="E55" s="3" t="s">
        <v>5</v>
      </c>
      <c r="F55" s="3">
        <v>1</v>
      </c>
      <c r="G55" s="16">
        <v>150000</v>
      </c>
      <c r="H55" s="16">
        <f t="shared" si="0"/>
        <v>150000</v>
      </c>
      <c r="J55" s="19"/>
    </row>
    <row r="56" spans="1:10" x14ac:dyDescent="0.25">
      <c r="A56" s="3">
        <v>1126</v>
      </c>
      <c r="B56" s="6">
        <v>45418</v>
      </c>
      <c r="C56" s="3" t="s">
        <v>12</v>
      </c>
      <c r="D56" s="3" t="s">
        <v>8</v>
      </c>
      <c r="E56" s="3" t="s">
        <v>17</v>
      </c>
      <c r="F56" s="3">
        <v>4</v>
      </c>
      <c r="G56" s="16">
        <v>45000</v>
      </c>
      <c r="H56" s="16">
        <f t="shared" si="0"/>
        <v>180000</v>
      </c>
      <c r="J56" s="19"/>
    </row>
    <row r="57" spans="1:10" x14ac:dyDescent="0.25">
      <c r="A57" s="3">
        <v>1127</v>
      </c>
      <c r="B57" s="6">
        <v>45419</v>
      </c>
      <c r="C57" s="3" t="s">
        <v>20</v>
      </c>
      <c r="D57" s="3" t="s">
        <v>11</v>
      </c>
      <c r="E57" s="3" t="s">
        <v>19</v>
      </c>
      <c r="F57" s="3">
        <v>3</v>
      </c>
      <c r="G57" s="16">
        <v>85000</v>
      </c>
      <c r="H57" s="16">
        <f t="shared" si="0"/>
        <v>255000</v>
      </c>
      <c r="J57" s="19"/>
    </row>
    <row r="58" spans="1:10" x14ac:dyDescent="0.25">
      <c r="A58" s="3">
        <v>1128</v>
      </c>
      <c r="B58" s="6">
        <v>45420</v>
      </c>
      <c r="C58" s="3" t="s">
        <v>9</v>
      </c>
      <c r="D58" s="3" t="s">
        <v>13</v>
      </c>
      <c r="E58" s="3" t="s">
        <v>18</v>
      </c>
      <c r="F58" s="3">
        <v>2</v>
      </c>
      <c r="G58" s="16">
        <v>250000</v>
      </c>
      <c r="H58" s="16">
        <f t="shared" si="0"/>
        <v>500000</v>
      </c>
      <c r="J58" s="19"/>
    </row>
    <row r="59" spans="1:10" x14ac:dyDescent="0.25">
      <c r="A59" s="3">
        <v>1129</v>
      </c>
      <c r="B59" s="6">
        <v>45421</v>
      </c>
      <c r="C59" s="3" t="s">
        <v>14</v>
      </c>
      <c r="D59" s="3" t="s">
        <v>6</v>
      </c>
      <c r="E59" s="3" t="s">
        <v>51</v>
      </c>
      <c r="F59" s="3">
        <v>3</v>
      </c>
      <c r="G59" s="16">
        <v>180000</v>
      </c>
      <c r="H59" s="16">
        <f t="shared" si="0"/>
        <v>540000</v>
      </c>
      <c r="J59" s="19"/>
    </row>
    <row r="60" spans="1:10" x14ac:dyDescent="0.25">
      <c r="A60" s="3">
        <v>1130</v>
      </c>
      <c r="B60" s="6">
        <v>45422</v>
      </c>
      <c r="C60" s="3" t="s">
        <v>12</v>
      </c>
      <c r="D60" s="3" t="s">
        <v>11</v>
      </c>
      <c r="E60" s="3" t="s">
        <v>16</v>
      </c>
      <c r="F60" s="3">
        <v>1</v>
      </c>
      <c r="G60" s="16">
        <v>150000</v>
      </c>
      <c r="H60" s="16">
        <f t="shared" si="0"/>
        <v>150000</v>
      </c>
      <c r="J60" s="19"/>
    </row>
  </sheetData>
  <conditionalFormatting sqref="A1:A1048576">
    <cfRule type="duplicateValues" dxfId="0" priority="1"/>
  </conditionalFormatting>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59CF31-A2FA-487F-B53A-D2415E8E4C75}">
  <sheetPr codeName="Sheet11"/>
  <dimension ref="A1:N71"/>
  <sheetViews>
    <sheetView topLeftCell="A30" zoomScale="103" zoomScaleNormal="80" workbookViewId="0">
      <selection activeCell="K1" sqref="K1"/>
    </sheetView>
  </sheetViews>
  <sheetFormatPr defaultRowHeight="15" x14ac:dyDescent="0.25"/>
  <cols>
    <col min="1" max="1" width="9" bestFit="1" customWidth="1"/>
    <col min="2" max="2" width="11.28515625" bestFit="1" customWidth="1"/>
    <col min="3" max="3" width="13.28515625" style="3" bestFit="1" customWidth="1"/>
    <col min="4" max="4" width="15" style="3" bestFit="1" customWidth="1"/>
    <col min="5" max="5" width="14" style="3" bestFit="1" customWidth="1"/>
    <col min="6" max="6" width="8.7109375" style="3" bestFit="1" customWidth="1"/>
    <col min="7" max="7" width="10.28515625" style="3" bestFit="1" customWidth="1"/>
    <col min="8" max="8" width="11" style="3" bestFit="1" customWidth="1"/>
    <col min="9" max="9" width="1.42578125" style="3" bestFit="1" customWidth="1"/>
    <col min="10" max="10" width="11" style="3" bestFit="1" customWidth="1"/>
    <col min="11" max="11" width="103.85546875" style="3" bestFit="1" customWidth="1"/>
    <col min="12" max="12" width="13.28515625" style="3" bestFit="1" customWidth="1"/>
    <col min="13" max="13" width="14.85546875" style="3" bestFit="1" customWidth="1"/>
    <col min="14" max="14" width="15.5703125" style="3" bestFit="1" customWidth="1"/>
    <col min="15" max="15" width="14.5703125" bestFit="1" customWidth="1"/>
    <col min="16" max="16" width="11.85546875" bestFit="1" customWidth="1"/>
    <col min="19" max="19" width="97.140625" bestFit="1" customWidth="1"/>
    <col min="24" max="24" width="75.42578125" bestFit="1" customWidth="1"/>
  </cols>
  <sheetData>
    <row r="1" spans="1:14" x14ac:dyDescent="0.25">
      <c r="A1" s="1" t="s">
        <v>25</v>
      </c>
      <c r="B1" s="1" t="s">
        <v>24</v>
      </c>
      <c r="C1" s="1" t="s">
        <v>37</v>
      </c>
      <c r="D1" s="1" t="s">
        <v>36</v>
      </c>
      <c r="E1" s="1" t="s">
        <v>35</v>
      </c>
      <c r="F1" s="1" t="s">
        <v>23</v>
      </c>
      <c r="G1" s="1" t="s">
        <v>22</v>
      </c>
      <c r="H1" s="1" t="s">
        <v>21</v>
      </c>
      <c r="I1" s="1"/>
      <c r="K1" s="7" t="s">
        <v>34</v>
      </c>
      <c r="L1"/>
      <c r="M1"/>
      <c r="N1"/>
    </row>
    <row r="2" spans="1:14" x14ac:dyDescent="0.25">
      <c r="A2">
        <v>1001</v>
      </c>
      <c r="B2" s="2">
        <v>45292</v>
      </c>
      <c r="C2" t="str" cm="1">
        <f t="array" ref="C2:C71">TRIM(PROPER('RAW Data Porto'!C2:C71))</f>
        <v>East</v>
      </c>
      <c r="D2" t="str" cm="1">
        <f t="array" ref="D2:D71">TRIM(PROPER('RAW Data Porto'!D2:D71))</f>
        <v>Apparel</v>
      </c>
      <c r="E2" t="str">
        <f>IFERROR(VLOOKUP('RAW Data Porto'!J2, Mapping_Product!A:B, 2, FALSE), 'RAW Data Porto'!J2)</f>
        <v>T-Shirt</v>
      </c>
      <c r="F2">
        <v>5</v>
      </c>
      <c r="G2">
        <v>75000</v>
      </c>
      <c r="H2" s="3">
        <f>F2*G2</f>
        <v>375000</v>
      </c>
      <c r="I2"/>
      <c r="J2"/>
      <c r="K2" s="1" t="s">
        <v>68</v>
      </c>
      <c r="L2"/>
      <c r="M2"/>
      <c r="N2"/>
    </row>
    <row r="3" spans="1:14" x14ac:dyDescent="0.25">
      <c r="A3">
        <v>1002</v>
      </c>
      <c r="B3" s="2">
        <v>45293</v>
      </c>
      <c r="C3" t="str">
        <v>East</v>
      </c>
      <c r="D3" t="str">
        <v>Apparel</v>
      </c>
      <c r="E3" t="str">
        <f>IFERROR(VLOOKUP('RAW Data Porto'!J3, Mapping_Product!A:B, 2, FALSE), 'RAW Data Porto'!J3)</f>
        <v>T-Shirt</v>
      </c>
      <c r="F3">
        <v>3</v>
      </c>
      <c r="G3">
        <v>75000</v>
      </c>
      <c r="H3" s="3">
        <f t="shared" ref="H3:H66" si="0">F3*G3</f>
        <v>225000</v>
      </c>
      <c r="I3"/>
      <c r="J3"/>
      <c r="K3" s="1" t="s">
        <v>69</v>
      </c>
      <c r="L3"/>
      <c r="M3"/>
      <c r="N3"/>
    </row>
    <row r="4" spans="1:14" x14ac:dyDescent="0.25">
      <c r="A4">
        <v>1003</v>
      </c>
      <c r="B4" s="2">
        <v>45294</v>
      </c>
      <c r="C4" t="str">
        <v>North</v>
      </c>
      <c r="D4" t="str">
        <v>Electronics</v>
      </c>
      <c r="E4" t="str">
        <f>IFERROR(VLOOKUP('RAW Data Porto'!J4, Mapping_Product!A:B, 2, FALSE), 'RAW Data Porto'!J4)</f>
        <v>Headphone</v>
      </c>
      <c r="F4">
        <v>2</v>
      </c>
      <c r="G4">
        <v>250000</v>
      </c>
      <c r="H4" s="3">
        <f t="shared" si="0"/>
        <v>500000</v>
      </c>
      <c r="I4"/>
      <c r="J4"/>
      <c r="K4" s="1" t="s">
        <v>33</v>
      </c>
      <c r="L4"/>
      <c r="M4"/>
      <c r="N4"/>
    </row>
    <row r="5" spans="1:14" x14ac:dyDescent="0.25">
      <c r="A5">
        <v>1004</v>
      </c>
      <c r="B5" s="2">
        <f>B4</f>
        <v>45294</v>
      </c>
      <c r="C5" t="str">
        <v>South</v>
      </c>
      <c r="D5" t="str">
        <v>Accessories</v>
      </c>
      <c r="E5" t="str">
        <f>IFERROR(VLOOKUP('RAW Data Porto'!J5, Mapping_Product!A:B, 2, FALSE), 'RAW Data Porto'!J5)</f>
        <v>Cap</v>
      </c>
      <c r="F5">
        <v>4</v>
      </c>
      <c r="G5">
        <v>45000</v>
      </c>
      <c r="H5" s="3">
        <f t="shared" si="0"/>
        <v>180000</v>
      </c>
      <c r="I5"/>
      <c r="J5"/>
      <c r="K5" s="1" t="s">
        <v>32</v>
      </c>
      <c r="L5"/>
      <c r="M5"/>
      <c r="N5"/>
    </row>
    <row r="6" spans="1:14" x14ac:dyDescent="0.25">
      <c r="A6">
        <v>1005</v>
      </c>
      <c r="B6" s="2">
        <v>45296</v>
      </c>
      <c r="C6" t="str">
        <v>West</v>
      </c>
      <c r="D6" t="str">
        <v>Apparel</v>
      </c>
      <c r="E6" t="str">
        <f>IFERROR(VLOOKUP('RAW Data Porto'!J6, Mapping_Product!A:B, 2, FALSE), 'RAW Data Porto'!J6)</f>
        <v>Jacket</v>
      </c>
      <c r="F6">
        <v>1</v>
      </c>
      <c r="G6">
        <v>150000</v>
      </c>
      <c r="H6" s="3">
        <f t="shared" si="0"/>
        <v>150000</v>
      </c>
      <c r="I6"/>
      <c r="J6"/>
      <c r="K6" s="1" t="s">
        <v>31</v>
      </c>
      <c r="L6"/>
      <c r="M6"/>
      <c r="N6"/>
    </row>
    <row r="7" spans="1:14" x14ac:dyDescent="0.25">
      <c r="A7">
        <v>1006</v>
      </c>
      <c r="B7" s="2">
        <v>45297</v>
      </c>
      <c r="C7" t="str">
        <v>East</v>
      </c>
      <c r="D7" t="str">
        <v>Apparel</v>
      </c>
      <c r="E7" t="str">
        <f>IFERROR(VLOOKUP('RAW Data Porto'!J7, Mapping_Product!A:B, 2, FALSE), 'RAW Data Porto'!J7)</f>
        <v>T-Shirt</v>
      </c>
      <c r="F7">
        <v>6</v>
      </c>
      <c r="G7">
        <v>75000</v>
      </c>
      <c r="H7" s="3">
        <f t="shared" si="0"/>
        <v>450000</v>
      </c>
      <c r="I7"/>
      <c r="J7"/>
      <c r="K7" s="1" t="s">
        <v>30</v>
      </c>
      <c r="L7"/>
      <c r="M7"/>
      <c r="N7"/>
    </row>
    <row r="8" spans="1:14" x14ac:dyDescent="0.25">
      <c r="A8">
        <v>1007</v>
      </c>
      <c r="B8" s="2">
        <v>45298</v>
      </c>
      <c r="C8" t="str">
        <v>North</v>
      </c>
      <c r="D8" t="str">
        <v>Electronics</v>
      </c>
      <c r="E8" t="str">
        <f>IFERROR(VLOOKUP('RAW Data Porto'!J8, Mapping_Product!A:B, 2, FALSE), 'RAW Data Porto'!J8)</f>
        <v>Laptop Sleeve</v>
      </c>
      <c r="F8">
        <v>2</v>
      </c>
      <c r="G8">
        <v>120000</v>
      </c>
      <c r="H8" s="3">
        <f t="shared" si="0"/>
        <v>240000</v>
      </c>
      <c r="I8"/>
      <c r="J8"/>
      <c r="K8" s="1" t="s">
        <v>29</v>
      </c>
      <c r="L8"/>
      <c r="M8"/>
      <c r="N8"/>
    </row>
    <row r="9" spans="1:14" x14ac:dyDescent="0.25">
      <c r="A9">
        <v>1008</v>
      </c>
      <c r="B9" s="2">
        <v>45299</v>
      </c>
      <c r="C9" t="str">
        <v>South</v>
      </c>
      <c r="D9" t="str">
        <v>Accessories</v>
      </c>
      <c r="E9" t="str">
        <f>IFERROR(VLOOKUP('RAW Data Porto'!J9, Mapping_Product!A:B, 2, FALSE), 'RAW Data Porto'!J9)</f>
        <v>Belt</v>
      </c>
      <c r="F9">
        <v>3</v>
      </c>
      <c r="G9">
        <v>55000</v>
      </c>
      <c r="H9" s="3">
        <f t="shared" si="0"/>
        <v>165000</v>
      </c>
      <c r="I9"/>
      <c r="J9"/>
      <c r="K9" s="1" t="s">
        <v>28</v>
      </c>
      <c r="L9"/>
      <c r="M9"/>
      <c r="N9"/>
    </row>
    <row r="10" spans="1:14" x14ac:dyDescent="0.25">
      <c r="A10">
        <v>1009</v>
      </c>
      <c r="B10" s="2">
        <v>45300</v>
      </c>
      <c r="C10" t="str">
        <v>West</v>
      </c>
      <c r="D10" t="str">
        <v>Footwear</v>
      </c>
      <c r="E10" t="str">
        <f>IFERROR(VLOOKUP('RAW Data Porto'!J10, Mapping_Product!A:B, 2, FALSE), 'RAW Data Porto'!J10)</f>
        <v>Shoes</v>
      </c>
      <c r="F10">
        <v>2</v>
      </c>
      <c r="G10">
        <v>250000</v>
      </c>
      <c r="H10" s="3">
        <f t="shared" si="0"/>
        <v>500000</v>
      </c>
      <c r="I10"/>
      <c r="J10"/>
      <c r="K10" s="1" t="s">
        <v>27</v>
      </c>
      <c r="L10"/>
      <c r="M10"/>
      <c r="N10"/>
    </row>
    <row r="11" spans="1:14" x14ac:dyDescent="0.25">
      <c r="A11">
        <v>1010</v>
      </c>
      <c r="B11" s="2">
        <v>45301</v>
      </c>
      <c r="C11" t="str">
        <v>East</v>
      </c>
      <c r="D11" t="str">
        <v>Footwear</v>
      </c>
      <c r="E11" t="str">
        <f>IFERROR(VLOOKUP('RAW Data Porto'!J11, Mapping_Product!A:B, 2, FALSE), 'RAW Data Porto'!J11)</f>
        <v>Shoes</v>
      </c>
      <c r="F11">
        <v>1</v>
      </c>
      <c r="G11">
        <v>250000</v>
      </c>
      <c r="H11" s="3">
        <f t="shared" si="0"/>
        <v>250000</v>
      </c>
      <c r="I11" t="s">
        <v>66</v>
      </c>
      <c r="J11"/>
      <c r="K11" s="1" t="s">
        <v>91</v>
      </c>
      <c r="L11"/>
      <c r="M11"/>
      <c r="N11"/>
    </row>
    <row r="12" spans="1:14" x14ac:dyDescent="0.25">
      <c r="A12">
        <v>1011</v>
      </c>
      <c r="B12" s="2">
        <v>45302</v>
      </c>
      <c r="C12" t="str">
        <v>North</v>
      </c>
      <c r="D12" t="str">
        <v>Apparel</v>
      </c>
      <c r="E12" t="str">
        <f>IFERROR(VLOOKUP('RAW Data Porto'!J12, Mapping_Product!A:B, 2, FALSE), 'RAW Data Porto'!J12)</f>
        <v>T-Shirt</v>
      </c>
      <c r="F12">
        <v>4</v>
      </c>
      <c r="G12">
        <v>75000</v>
      </c>
      <c r="H12" s="3">
        <f t="shared" si="0"/>
        <v>300000</v>
      </c>
      <c r="I12"/>
      <c r="J12"/>
      <c r="K12" s="1" t="s">
        <v>26</v>
      </c>
      <c r="L12"/>
      <c r="M12"/>
      <c r="N12"/>
    </row>
    <row r="13" spans="1:14" x14ac:dyDescent="0.25">
      <c r="A13">
        <v>1012</v>
      </c>
      <c r="B13" s="2">
        <v>45303</v>
      </c>
      <c r="C13" t="str">
        <v>South</v>
      </c>
      <c r="D13" t="str">
        <v>Electronics</v>
      </c>
      <c r="E13" t="str">
        <f>IFERROR(VLOOKUP('RAW Data Porto'!J13, Mapping_Product!A:B, 2, FALSE), 'RAW Data Porto'!J13)</f>
        <v>Mouse</v>
      </c>
      <c r="F13">
        <v>5</v>
      </c>
      <c r="G13">
        <v>85000</v>
      </c>
      <c r="H13" s="3">
        <f t="shared" si="0"/>
        <v>425000</v>
      </c>
      <c r="I13"/>
      <c r="J13"/>
      <c r="K13" s="1" t="s">
        <v>86</v>
      </c>
      <c r="L13"/>
      <c r="M13"/>
      <c r="N13"/>
    </row>
    <row r="14" spans="1:14" x14ac:dyDescent="0.25">
      <c r="A14">
        <v>1013</v>
      </c>
      <c r="B14" s="2">
        <v>45304</v>
      </c>
      <c r="C14" t="str">
        <v>West</v>
      </c>
      <c r="D14" t="str">
        <v>Accessories</v>
      </c>
      <c r="E14" t="str">
        <f>IFERROR(VLOOKUP('RAW Data Porto'!J14, Mapping_Product!A:B, 2, FALSE), 'RAW Data Porto'!J14)</f>
        <v>Cap</v>
      </c>
      <c r="F14">
        <v>2</v>
      </c>
      <c r="G14">
        <v>45000</v>
      </c>
      <c r="H14" s="3">
        <f t="shared" si="0"/>
        <v>90000</v>
      </c>
      <c r="I14"/>
      <c r="J14"/>
      <c r="K14" s="1" t="s">
        <v>87</v>
      </c>
      <c r="L14"/>
      <c r="M14"/>
      <c r="N14"/>
    </row>
    <row r="15" spans="1:14" x14ac:dyDescent="0.25">
      <c r="A15">
        <v>1014</v>
      </c>
      <c r="B15" s="2">
        <f>B14</f>
        <v>45304</v>
      </c>
      <c r="C15" t="str">
        <v>East</v>
      </c>
      <c r="D15" t="str">
        <v>Apparel</v>
      </c>
      <c r="E15" t="str">
        <f>IFERROR(VLOOKUP('RAW Data Porto'!J15, Mapping_Product!A:B, 2, FALSE), 'RAW Data Porto'!J15)</f>
        <v>T-Shirt</v>
      </c>
      <c r="F15">
        <v>3</v>
      </c>
      <c r="G15">
        <v>75000</v>
      </c>
      <c r="H15" s="3">
        <f t="shared" si="0"/>
        <v>225000</v>
      </c>
      <c r="I15"/>
      <c r="J15"/>
      <c r="K15" s="1" t="s">
        <v>88</v>
      </c>
      <c r="L15"/>
      <c r="M15"/>
      <c r="N15"/>
    </row>
    <row r="16" spans="1:14" x14ac:dyDescent="0.25">
      <c r="A16">
        <v>1015</v>
      </c>
      <c r="B16" s="2">
        <v>45306</v>
      </c>
      <c r="C16" t="str">
        <v>North</v>
      </c>
      <c r="D16" t="str">
        <v>Electronics</v>
      </c>
      <c r="E16" t="str">
        <f>IFERROR(VLOOKUP('RAW Data Porto'!J16, Mapping_Product!A:B, 2, FALSE), 'RAW Data Porto'!J16)</f>
        <v>Keyboard</v>
      </c>
      <c r="F16">
        <v>1</v>
      </c>
      <c r="G16">
        <v>150000</v>
      </c>
      <c r="H16" s="3">
        <f t="shared" si="0"/>
        <v>150000</v>
      </c>
      <c r="I16"/>
      <c r="J16"/>
      <c r="K16" s="1" t="s">
        <v>89</v>
      </c>
      <c r="L16"/>
      <c r="M16"/>
      <c r="N16"/>
    </row>
    <row r="17" spans="1:14" x14ac:dyDescent="0.25">
      <c r="A17">
        <v>1016</v>
      </c>
      <c r="B17" s="2">
        <v>45307</v>
      </c>
      <c r="C17" t="str">
        <v>South</v>
      </c>
      <c r="D17" t="str">
        <v>Accessories</v>
      </c>
      <c r="E17" t="str">
        <f>IFERROR(VLOOKUP('RAW Data Porto'!J17, Mapping_Product!A:B, 2, FALSE), 'RAW Data Porto'!J17)</f>
        <v>Belt</v>
      </c>
      <c r="F17">
        <v>4</v>
      </c>
      <c r="G17">
        <v>55000</v>
      </c>
      <c r="H17" s="3">
        <f t="shared" si="0"/>
        <v>220000</v>
      </c>
      <c r="I17"/>
      <c r="J17"/>
      <c r="K17" s="1" t="s">
        <v>90</v>
      </c>
      <c r="L17"/>
      <c r="M17"/>
      <c r="N17"/>
    </row>
    <row r="18" spans="1:14" x14ac:dyDescent="0.25">
      <c r="A18">
        <v>1017</v>
      </c>
      <c r="B18" s="2">
        <v>45308</v>
      </c>
      <c r="C18" t="str">
        <v>West</v>
      </c>
      <c r="D18" t="str">
        <v>Footwear</v>
      </c>
      <c r="E18" t="str">
        <f>IFERROR(VLOOKUP('RAW Data Porto'!J18, Mapping_Product!A:B, 2, FALSE), 'RAW Data Porto'!J18)</f>
        <v>Shoes</v>
      </c>
      <c r="F18">
        <v>3</v>
      </c>
      <c r="G18">
        <v>250000</v>
      </c>
      <c r="H18" s="3">
        <f t="shared" si="0"/>
        <v>750000</v>
      </c>
      <c r="I18"/>
      <c r="J18"/>
      <c r="K18" s="1" t="s">
        <v>92</v>
      </c>
      <c r="L18"/>
      <c r="M18"/>
      <c r="N18"/>
    </row>
    <row r="19" spans="1:14" x14ac:dyDescent="0.25">
      <c r="A19">
        <v>1018</v>
      </c>
      <c r="B19" s="2">
        <v>45309</v>
      </c>
      <c r="C19" t="str">
        <v>East</v>
      </c>
      <c r="D19" t="str">
        <v>Apparel</v>
      </c>
      <c r="E19" t="str">
        <f>IFERROR(VLOOKUP('RAW Data Porto'!J19, Mapping_Product!A:B, 2, FALSE), 'RAW Data Porto'!J19)</f>
        <v>Jacket</v>
      </c>
      <c r="F19">
        <v>2</v>
      </c>
      <c r="G19">
        <v>150000</v>
      </c>
      <c r="H19" s="3">
        <f t="shared" si="0"/>
        <v>300000</v>
      </c>
      <c r="I19"/>
      <c r="J19"/>
      <c r="K19" s="1" t="s">
        <v>93</v>
      </c>
      <c r="L19"/>
      <c r="M19"/>
      <c r="N19"/>
    </row>
    <row r="20" spans="1:14" x14ac:dyDescent="0.25">
      <c r="A20">
        <v>1019</v>
      </c>
      <c r="B20" s="2">
        <v>45310</v>
      </c>
      <c r="C20" t="str">
        <v>North</v>
      </c>
      <c r="D20" t="str">
        <v>Electronics</v>
      </c>
      <c r="E20" t="str">
        <f>IFERROR(VLOOKUP('RAW Data Porto'!J20, Mapping_Product!A:B, 2, FALSE), 'RAW Data Porto'!J20)</f>
        <v>Headphone</v>
      </c>
      <c r="F20">
        <v>3</v>
      </c>
      <c r="G20">
        <v>250000</v>
      </c>
      <c r="H20" s="3">
        <f t="shared" si="0"/>
        <v>750000</v>
      </c>
      <c r="I20"/>
      <c r="J20"/>
      <c r="K20"/>
      <c r="L20"/>
      <c r="M20"/>
      <c r="N20"/>
    </row>
    <row r="21" spans="1:14" x14ac:dyDescent="0.25">
      <c r="A21">
        <v>1020</v>
      </c>
      <c r="B21" s="2">
        <v>45311</v>
      </c>
      <c r="C21" t="str">
        <v>South</v>
      </c>
      <c r="D21" t="str">
        <v>Accessories</v>
      </c>
      <c r="E21" t="str">
        <f>IFERROR(VLOOKUP('RAW Data Porto'!J21, Mapping_Product!A:B, 2, FALSE), 'RAW Data Porto'!J21)</f>
        <v>Cap</v>
      </c>
      <c r="F21">
        <v>5</v>
      </c>
      <c r="G21">
        <v>45000</v>
      </c>
      <c r="H21" s="3">
        <f t="shared" si="0"/>
        <v>225000</v>
      </c>
      <c r="I21"/>
      <c r="J21"/>
      <c r="K21"/>
      <c r="L21"/>
      <c r="M21"/>
      <c r="N21"/>
    </row>
    <row r="22" spans="1:14" x14ac:dyDescent="0.25">
      <c r="A22">
        <v>1021</v>
      </c>
      <c r="B22" s="2">
        <v>45312</v>
      </c>
      <c r="C22" t="str">
        <v>West</v>
      </c>
      <c r="D22" t="str">
        <v>Apparel</v>
      </c>
      <c r="E22" t="str">
        <f>IFERROR(VLOOKUP('RAW Data Porto'!J22, Mapping_Product!A:B, 2, FALSE), 'RAW Data Porto'!J22)</f>
        <v>T-Shirt</v>
      </c>
      <c r="F22">
        <v>2</v>
      </c>
      <c r="G22">
        <v>75000</v>
      </c>
      <c r="H22" s="3">
        <f t="shared" si="0"/>
        <v>150000</v>
      </c>
      <c r="I22"/>
      <c r="J22"/>
      <c r="K22"/>
      <c r="L22"/>
      <c r="M22"/>
      <c r="N22"/>
    </row>
    <row r="23" spans="1:14" x14ac:dyDescent="0.25">
      <c r="A23">
        <v>1022</v>
      </c>
      <c r="B23" s="2">
        <v>45313</v>
      </c>
      <c r="C23" t="str">
        <v>East</v>
      </c>
      <c r="D23" t="str">
        <v>Electronics</v>
      </c>
      <c r="E23" t="str">
        <f>IFERROR(VLOOKUP('RAW Data Porto'!J23, Mapping_Product!A:B, 2, FALSE), 'RAW Data Porto'!J23)</f>
        <v>Mouse</v>
      </c>
      <c r="F23">
        <v>4</v>
      </c>
      <c r="G23">
        <v>85000</v>
      </c>
      <c r="H23" s="3">
        <f t="shared" si="0"/>
        <v>340000</v>
      </c>
      <c r="I23"/>
      <c r="J23"/>
      <c r="K23"/>
      <c r="L23"/>
      <c r="M23"/>
      <c r="N23"/>
    </row>
    <row r="24" spans="1:14" x14ac:dyDescent="0.25">
      <c r="A24">
        <v>1023</v>
      </c>
      <c r="B24" s="2">
        <v>45314</v>
      </c>
      <c r="C24" t="str">
        <v>North</v>
      </c>
      <c r="D24" t="str">
        <v>Accessories</v>
      </c>
      <c r="E24" t="str">
        <f>IFERROR(VLOOKUP('RAW Data Porto'!J24, Mapping_Product!A:B, 2, FALSE), 'RAW Data Porto'!J24)</f>
        <v>Belt</v>
      </c>
      <c r="F24">
        <v>2</v>
      </c>
      <c r="G24">
        <v>55000</v>
      </c>
      <c r="H24" s="3">
        <f t="shared" si="0"/>
        <v>110000</v>
      </c>
      <c r="I24"/>
      <c r="J24"/>
      <c r="K24"/>
      <c r="L24"/>
      <c r="M24"/>
      <c r="N24"/>
    </row>
    <row r="25" spans="1:14" x14ac:dyDescent="0.25">
      <c r="A25">
        <v>1024</v>
      </c>
      <c r="B25" s="2">
        <f>B24</f>
        <v>45314</v>
      </c>
      <c r="C25" t="str">
        <v>South</v>
      </c>
      <c r="D25" t="str">
        <v>Footwear</v>
      </c>
      <c r="E25" t="str">
        <f>IFERROR(VLOOKUP('RAW Data Porto'!J25, Mapping_Product!A:B, 2, FALSE), 'RAW Data Porto'!J25)</f>
        <v>Shoes</v>
      </c>
      <c r="F25">
        <v>1</v>
      </c>
      <c r="G25">
        <v>250000</v>
      </c>
      <c r="H25" s="3">
        <f t="shared" si="0"/>
        <v>250000</v>
      </c>
      <c r="I25"/>
      <c r="J25"/>
      <c r="K25"/>
      <c r="L25"/>
      <c r="M25"/>
      <c r="N25"/>
    </row>
    <row r="26" spans="1:14" x14ac:dyDescent="0.25">
      <c r="A26">
        <v>1025</v>
      </c>
      <c r="B26" s="2">
        <v>45316</v>
      </c>
      <c r="C26" t="str">
        <v>West</v>
      </c>
      <c r="D26" t="str">
        <v>Apparel</v>
      </c>
      <c r="E26" t="str">
        <f>IFERROR(VLOOKUP('RAW Data Porto'!J26, Mapping_Product!A:B, 2, FALSE), 'RAW Data Porto'!J26)</f>
        <v>T-Shirt</v>
      </c>
      <c r="F26">
        <v>3</v>
      </c>
      <c r="G26">
        <v>75000</v>
      </c>
      <c r="H26" s="3">
        <f t="shared" si="0"/>
        <v>225000</v>
      </c>
      <c r="I26"/>
      <c r="J26"/>
      <c r="K26"/>
      <c r="L26"/>
      <c r="M26"/>
      <c r="N26"/>
    </row>
    <row r="27" spans="1:14" x14ac:dyDescent="0.25">
      <c r="A27">
        <v>1026</v>
      </c>
      <c r="B27" s="2">
        <v>45317</v>
      </c>
      <c r="C27" t="str">
        <v>East</v>
      </c>
      <c r="D27" t="str">
        <v>Electronics</v>
      </c>
      <c r="E27" t="str">
        <f>IFERROR(VLOOKUP('RAW Data Porto'!J27, Mapping_Product!A:B, 2, FALSE), 'RAW Data Porto'!J27)</f>
        <v>Keyboard</v>
      </c>
      <c r="F27">
        <v>2</v>
      </c>
      <c r="G27">
        <v>150000</v>
      </c>
      <c r="H27" s="3">
        <f t="shared" si="0"/>
        <v>300000</v>
      </c>
      <c r="I27"/>
      <c r="J27"/>
      <c r="K27"/>
      <c r="L27"/>
      <c r="M27"/>
      <c r="N27"/>
    </row>
    <row r="28" spans="1:14" x14ac:dyDescent="0.25">
      <c r="A28">
        <v>1027</v>
      </c>
      <c r="B28" s="2">
        <v>45318</v>
      </c>
      <c r="C28" t="str">
        <v>North</v>
      </c>
      <c r="D28" t="str">
        <v>Accessories</v>
      </c>
      <c r="E28" t="str">
        <f>IFERROR(VLOOKUP('RAW Data Porto'!J28, Mapping_Product!A:B, 2, FALSE), 'RAW Data Porto'!J28)</f>
        <v>Cap</v>
      </c>
      <c r="F28">
        <v>4</v>
      </c>
      <c r="G28">
        <v>45000</v>
      </c>
      <c r="H28" s="3">
        <f t="shared" si="0"/>
        <v>180000</v>
      </c>
      <c r="I28"/>
      <c r="J28"/>
      <c r="K28"/>
      <c r="L28"/>
      <c r="M28"/>
      <c r="N28"/>
    </row>
    <row r="29" spans="1:14" x14ac:dyDescent="0.25">
      <c r="A29">
        <v>1028</v>
      </c>
      <c r="B29" s="2">
        <v>45319</v>
      </c>
      <c r="C29" t="str">
        <v>South</v>
      </c>
      <c r="D29" t="str">
        <v>Apparel</v>
      </c>
      <c r="E29" t="str">
        <f>IFERROR(VLOOKUP('RAW Data Porto'!J29, Mapping_Product!A:B, 2, FALSE), 'RAW Data Porto'!J29)</f>
        <v>Jacket</v>
      </c>
      <c r="F29">
        <v>1</v>
      </c>
      <c r="G29">
        <v>150000</v>
      </c>
      <c r="H29" s="3">
        <f t="shared" si="0"/>
        <v>150000</v>
      </c>
      <c r="I29"/>
      <c r="J29"/>
      <c r="K29"/>
      <c r="L29"/>
      <c r="M29"/>
      <c r="N29"/>
    </row>
    <row r="30" spans="1:14" x14ac:dyDescent="0.25">
      <c r="A30">
        <v>1029</v>
      </c>
      <c r="B30" s="2">
        <v>45320</v>
      </c>
      <c r="C30" t="str">
        <v>West</v>
      </c>
      <c r="D30" t="str">
        <v>Footwear</v>
      </c>
      <c r="E30" t="str">
        <f>IFERROR(VLOOKUP('RAW Data Porto'!J30, Mapping_Product!A:B, 2, FALSE), 'RAW Data Porto'!J30)</f>
        <v>Shoes</v>
      </c>
      <c r="F30">
        <v>2</v>
      </c>
      <c r="G30">
        <v>250000</v>
      </c>
      <c r="H30" s="3">
        <f t="shared" si="0"/>
        <v>500000</v>
      </c>
      <c r="I30"/>
      <c r="J30"/>
      <c r="K30"/>
      <c r="L30"/>
      <c r="M30"/>
      <c r="N30"/>
    </row>
    <row r="31" spans="1:14" x14ac:dyDescent="0.25">
      <c r="A31">
        <v>1030</v>
      </c>
      <c r="B31" s="2">
        <v>45321</v>
      </c>
      <c r="C31" t="str">
        <v>East</v>
      </c>
      <c r="D31" t="str">
        <v>Electronics</v>
      </c>
      <c r="E31" t="str">
        <f>IFERROR(VLOOKUP('RAW Data Porto'!J31, Mapping_Product!A:B, 2, FALSE), 'RAW Data Porto'!J31)</f>
        <v>Laptop Sleeve</v>
      </c>
      <c r="F31">
        <v>3</v>
      </c>
      <c r="G31">
        <v>120000</v>
      </c>
      <c r="H31" s="3">
        <f t="shared" si="0"/>
        <v>360000</v>
      </c>
      <c r="I31"/>
      <c r="J31"/>
      <c r="K31"/>
      <c r="L31"/>
      <c r="M31"/>
      <c r="N31"/>
    </row>
    <row r="32" spans="1:14" x14ac:dyDescent="0.25">
      <c r="A32">
        <v>1031</v>
      </c>
      <c r="B32" s="2">
        <v>45323</v>
      </c>
      <c r="C32" t="str">
        <v>North</v>
      </c>
      <c r="D32" t="str">
        <v>Apparel</v>
      </c>
      <c r="E32" t="str">
        <f>IFERROR(VLOOKUP('RAW Data Porto'!J32, Mapping_Product!A:B, 2, FALSE), 'RAW Data Porto'!J32)</f>
        <v>T-Shirt</v>
      </c>
      <c r="F32">
        <v>5</v>
      </c>
      <c r="G32">
        <v>75000</v>
      </c>
      <c r="H32" s="3">
        <f t="shared" si="0"/>
        <v>375000</v>
      </c>
      <c r="I32"/>
      <c r="J32"/>
      <c r="K32"/>
      <c r="L32"/>
      <c r="M32"/>
      <c r="N32"/>
    </row>
    <row r="33" spans="1:14" x14ac:dyDescent="0.25">
      <c r="A33">
        <v>1032</v>
      </c>
      <c r="B33" s="2">
        <v>45324</v>
      </c>
      <c r="C33" t="str">
        <v>South</v>
      </c>
      <c r="D33" t="str">
        <v>Accessories</v>
      </c>
      <c r="E33" t="str">
        <f>IFERROR(VLOOKUP('RAW Data Porto'!J33, Mapping_Product!A:B, 2, FALSE), 'RAW Data Porto'!J33)</f>
        <v>Belt</v>
      </c>
      <c r="F33">
        <v>3</v>
      </c>
      <c r="G33">
        <v>55000</v>
      </c>
      <c r="H33" s="3">
        <f t="shared" si="0"/>
        <v>165000</v>
      </c>
      <c r="I33"/>
      <c r="J33"/>
      <c r="K33"/>
      <c r="L33"/>
      <c r="M33"/>
      <c r="N33"/>
    </row>
    <row r="34" spans="1:14" x14ac:dyDescent="0.25">
      <c r="A34">
        <v>1033</v>
      </c>
      <c r="B34" s="2">
        <f>B33</f>
        <v>45324</v>
      </c>
      <c r="C34" t="str">
        <v>West</v>
      </c>
      <c r="D34" t="str">
        <v>Electronics</v>
      </c>
      <c r="E34" t="str">
        <f>IFERROR(VLOOKUP('RAW Data Porto'!J34, Mapping_Product!A:B, 2, FALSE), 'RAW Data Porto'!J34)</f>
        <v>Mouse</v>
      </c>
      <c r="F34">
        <v>2</v>
      </c>
      <c r="G34">
        <v>85000</v>
      </c>
      <c r="H34" s="3">
        <f t="shared" si="0"/>
        <v>170000</v>
      </c>
      <c r="I34"/>
      <c r="J34"/>
      <c r="K34"/>
      <c r="L34"/>
      <c r="M34"/>
      <c r="N34"/>
    </row>
    <row r="35" spans="1:14" x14ac:dyDescent="0.25">
      <c r="A35">
        <v>1034</v>
      </c>
      <c r="B35" s="2">
        <v>45326</v>
      </c>
      <c r="C35" t="str">
        <v>East</v>
      </c>
      <c r="D35" t="str">
        <v>Footwear</v>
      </c>
      <c r="E35" t="str">
        <f>IFERROR(VLOOKUP('RAW Data Porto'!J35, Mapping_Product!A:B, 2, FALSE), 'RAW Data Porto'!J35)</f>
        <v>Shoes</v>
      </c>
      <c r="F35">
        <v>4</v>
      </c>
      <c r="G35">
        <v>250000</v>
      </c>
      <c r="H35" s="3">
        <f t="shared" si="0"/>
        <v>1000000</v>
      </c>
      <c r="I35"/>
      <c r="J35"/>
      <c r="K35"/>
      <c r="L35"/>
      <c r="M35"/>
      <c r="N35"/>
    </row>
    <row r="36" spans="1:14" x14ac:dyDescent="0.25">
      <c r="A36">
        <v>1035</v>
      </c>
      <c r="B36" s="2">
        <v>45327</v>
      </c>
      <c r="C36" t="str">
        <v>North</v>
      </c>
      <c r="D36" t="str">
        <v>Apparel</v>
      </c>
      <c r="E36" t="str">
        <f>IFERROR(VLOOKUP('RAW Data Porto'!J36, Mapping_Product!A:B, 2, FALSE), 'RAW Data Porto'!J36)</f>
        <v>Jacket</v>
      </c>
      <c r="F36">
        <v>1</v>
      </c>
      <c r="G36">
        <v>150000</v>
      </c>
      <c r="H36" s="3">
        <f t="shared" si="0"/>
        <v>150000</v>
      </c>
      <c r="I36"/>
      <c r="J36"/>
      <c r="K36"/>
      <c r="L36"/>
      <c r="M36"/>
      <c r="N36"/>
    </row>
    <row r="37" spans="1:14" x14ac:dyDescent="0.25">
      <c r="A37">
        <v>1036</v>
      </c>
      <c r="B37" s="2">
        <v>45328</v>
      </c>
      <c r="C37" t="str">
        <v>South</v>
      </c>
      <c r="D37" t="str">
        <v>Accessories</v>
      </c>
      <c r="E37" t="str">
        <f>IFERROR(VLOOKUP('RAW Data Porto'!J37, Mapping_Product!A:B, 2, FALSE), 'RAW Data Porto'!J37)</f>
        <v>Cap</v>
      </c>
      <c r="F37">
        <v>6</v>
      </c>
      <c r="G37">
        <v>45000</v>
      </c>
      <c r="H37" s="3">
        <f t="shared" si="0"/>
        <v>270000</v>
      </c>
      <c r="I37"/>
      <c r="J37"/>
      <c r="K37"/>
      <c r="L37"/>
      <c r="M37"/>
      <c r="N37"/>
    </row>
    <row r="38" spans="1:14" x14ac:dyDescent="0.25">
      <c r="A38">
        <v>1037</v>
      </c>
      <c r="B38" s="2">
        <v>45329</v>
      </c>
      <c r="C38" t="str">
        <v>West</v>
      </c>
      <c r="D38" t="str">
        <v>Electronics</v>
      </c>
      <c r="E38" t="str">
        <f>IFERROR(VLOOKUP('RAW Data Porto'!J38, Mapping_Product!A:B, 2, FALSE), 'RAW Data Porto'!J38)</f>
        <v>Keyboard</v>
      </c>
      <c r="F38">
        <v>3</v>
      </c>
      <c r="G38">
        <v>150000</v>
      </c>
      <c r="H38" s="3">
        <f t="shared" si="0"/>
        <v>450000</v>
      </c>
      <c r="I38"/>
      <c r="J38"/>
      <c r="K38"/>
      <c r="L38"/>
      <c r="M38"/>
      <c r="N38"/>
    </row>
    <row r="39" spans="1:14" x14ac:dyDescent="0.25">
      <c r="A39">
        <v>1038</v>
      </c>
      <c r="B39" s="2">
        <v>45330</v>
      </c>
      <c r="C39" t="str">
        <v>East</v>
      </c>
      <c r="D39" t="str">
        <v>Apparel</v>
      </c>
      <c r="E39" t="str">
        <f>IFERROR(VLOOKUP('RAW Data Porto'!J39, Mapping_Product!A:B, 2, FALSE), 'RAW Data Porto'!J39)</f>
        <v>T-Shirt</v>
      </c>
      <c r="F39">
        <v>2</v>
      </c>
      <c r="G39">
        <v>75000</v>
      </c>
      <c r="H39" s="3">
        <f t="shared" si="0"/>
        <v>150000</v>
      </c>
      <c r="I39"/>
      <c r="J39"/>
      <c r="K39"/>
      <c r="L39"/>
      <c r="M39"/>
      <c r="N39"/>
    </row>
    <row r="40" spans="1:14" x14ac:dyDescent="0.25">
      <c r="A40">
        <v>1039</v>
      </c>
      <c r="B40" s="2">
        <v>45331</v>
      </c>
      <c r="C40" t="str">
        <v>North</v>
      </c>
      <c r="D40" t="str">
        <v>Footwear</v>
      </c>
      <c r="E40" t="str">
        <f>IFERROR(VLOOKUP('RAW Data Porto'!J40, Mapping_Product!A:B, 2, FALSE), 'RAW Data Porto'!J40)</f>
        <v>Shoes</v>
      </c>
      <c r="F40">
        <v>1</v>
      </c>
      <c r="G40">
        <v>250000</v>
      </c>
      <c r="H40" s="3">
        <f t="shared" si="0"/>
        <v>250000</v>
      </c>
      <c r="I40"/>
      <c r="J40"/>
      <c r="K40"/>
      <c r="L40"/>
      <c r="M40"/>
      <c r="N40"/>
    </row>
    <row r="41" spans="1:14" x14ac:dyDescent="0.25">
      <c r="A41">
        <v>1040</v>
      </c>
      <c r="B41" s="2">
        <v>45332</v>
      </c>
      <c r="C41" t="str">
        <v>South</v>
      </c>
      <c r="D41" t="str">
        <v>Electronics</v>
      </c>
      <c r="E41" t="str">
        <f>IFERROR(VLOOKUP('RAW Data Porto'!J41, Mapping_Product!A:B, 2, FALSE), 'RAW Data Porto'!J41)</f>
        <v>Headphone</v>
      </c>
      <c r="F41">
        <v>4</v>
      </c>
      <c r="G41">
        <v>250000</v>
      </c>
      <c r="H41" s="3">
        <f t="shared" si="0"/>
        <v>1000000</v>
      </c>
      <c r="I41"/>
      <c r="J41"/>
      <c r="K41"/>
      <c r="L41"/>
      <c r="M41"/>
      <c r="N41"/>
    </row>
    <row r="42" spans="1:14" x14ac:dyDescent="0.25">
      <c r="A42">
        <v>1041</v>
      </c>
      <c r="B42" s="2">
        <v>45333</v>
      </c>
      <c r="C42" t="str">
        <v>West</v>
      </c>
      <c r="D42" t="str">
        <v>Accessories</v>
      </c>
      <c r="E42" t="str">
        <f>IFERROR(VLOOKUP('RAW Data Porto'!J42, Mapping_Product!A:B, 2, FALSE), 'RAW Data Porto'!J42)</f>
        <v>Belt</v>
      </c>
      <c r="F42">
        <v>2</v>
      </c>
      <c r="G42">
        <v>55000</v>
      </c>
      <c r="H42" s="3">
        <f t="shared" si="0"/>
        <v>110000</v>
      </c>
      <c r="I42"/>
      <c r="J42"/>
      <c r="K42"/>
      <c r="L42"/>
      <c r="M42"/>
      <c r="N42"/>
    </row>
    <row r="43" spans="1:14" x14ac:dyDescent="0.25">
      <c r="A43">
        <v>1042</v>
      </c>
      <c r="B43" s="2">
        <f>B42</f>
        <v>45333</v>
      </c>
      <c r="C43" t="str">
        <v>East</v>
      </c>
      <c r="D43" t="str">
        <v>Apparel</v>
      </c>
      <c r="E43" t="str">
        <f>IFERROR(VLOOKUP('RAW Data Porto'!J43, Mapping_Product!A:B, 2, FALSE), 'RAW Data Porto'!J43)</f>
        <v>T-Shirt</v>
      </c>
      <c r="F43">
        <v>3</v>
      </c>
      <c r="G43">
        <v>75000</v>
      </c>
      <c r="H43" s="3">
        <f t="shared" si="0"/>
        <v>225000</v>
      </c>
      <c r="I43"/>
      <c r="J43"/>
      <c r="K43"/>
      <c r="L43"/>
      <c r="M43"/>
      <c r="N43"/>
    </row>
    <row r="44" spans="1:14" x14ac:dyDescent="0.25">
      <c r="A44">
        <v>1043</v>
      </c>
      <c r="B44" s="2">
        <v>45335</v>
      </c>
      <c r="C44" t="str">
        <v>North</v>
      </c>
      <c r="D44" t="str">
        <v>Electronics</v>
      </c>
      <c r="E44" t="str">
        <f>IFERROR(VLOOKUP('RAW Data Porto'!J44, Mapping_Product!A:B, 2, FALSE), 'RAW Data Porto'!J44)</f>
        <v>Mouse</v>
      </c>
      <c r="F44">
        <v>5</v>
      </c>
      <c r="G44">
        <v>85000</v>
      </c>
      <c r="H44" s="3">
        <f t="shared" si="0"/>
        <v>425000</v>
      </c>
      <c r="I44"/>
      <c r="J44"/>
      <c r="K44"/>
      <c r="L44"/>
      <c r="M44"/>
      <c r="N44"/>
    </row>
    <row r="45" spans="1:14" x14ac:dyDescent="0.25">
      <c r="A45">
        <v>1044</v>
      </c>
      <c r="B45" s="2">
        <v>45336</v>
      </c>
      <c r="C45" t="str">
        <v>South</v>
      </c>
      <c r="D45" t="str">
        <v>Apparel</v>
      </c>
      <c r="E45" t="str">
        <f>IFERROR(VLOOKUP('RAW Data Porto'!J45, Mapping_Product!A:B, 2, FALSE), 'RAW Data Porto'!J45)</f>
        <v>Jacket</v>
      </c>
      <c r="F45">
        <v>2</v>
      </c>
      <c r="G45">
        <v>150000</v>
      </c>
      <c r="H45" s="3">
        <f t="shared" si="0"/>
        <v>300000</v>
      </c>
      <c r="I45"/>
      <c r="J45"/>
      <c r="K45"/>
      <c r="L45"/>
      <c r="M45"/>
      <c r="N45"/>
    </row>
    <row r="46" spans="1:14" x14ac:dyDescent="0.25">
      <c r="A46">
        <v>1045</v>
      </c>
      <c r="B46" s="2">
        <v>45337</v>
      </c>
      <c r="C46" t="str">
        <v>West</v>
      </c>
      <c r="D46" t="str">
        <v>Footwear</v>
      </c>
      <c r="E46" t="str">
        <f>IFERROR(VLOOKUP('RAW Data Porto'!J46, Mapping_Product!A:B, 2, FALSE), 'RAW Data Porto'!J46)</f>
        <v>Shoes</v>
      </c>
      <c r="F46">
        <v>3</v>
      </c>
      <c r="G46">
        <v>250000</v>
      </c>
      <c r="H46" s="3">
        <f t="shared" si="0"/>
        <v>750000</v>
      </c>
      <c r="I46"/>
      <c r="J46"/>
      <c r="K46"/>
      <c r="L46"/>
      <c r="M46"/>
      <c r="N46"/>
    </row>
    <row r="47" spans="1:14" x14ac:dyDescent="0.25">
      <c r="A47">
        <v>1046</v>
      </c>
      <c r="B47" s="2">
        <v>45338</v>
      </c>
      <c r="C47" t="str">
        <v>East</v>
      </c>
      <c r="D47" t="str">
        <v>Accessories</v>
      </c>
      <c r="E47" t="str">
        <f>IFERROR(VLOOKUP('RAW Data Porto'!J47, Mapping_Product!A:B, 2, FALSE), 'RAW Data Porto'!J47)</f>
        <v>Cap</v>
      </c>
      <c r="F47">
        <v>4</v>
      </c>
      <c r="G47">
        <v>45000</v>
      </c>
      <c r="H47" s="3">
        <f t="shared" si="0"/>
        <v>180000</v>
      </c>
      <c r="I47"/>
      <c r="J47"/>
      <c r="K47"/>
      <c r="L47"/>
      <c r="M47"/>
      <c r="N47"/>
    </row>
    <row r="48" spans="1:14" x14ac:dyDescent="0.25">
      <c r="A48">
        <v>1047</v>
      </c>
      <c r="B48" s="2">
        <v>45339</v>
      </c>
      <c r="C48" t="str">
        <v>North</v>
      </c>
      <c r="D48" t="str">
        <v>Electronics</v>
      </c>
      <c r="E48" t="str">
        <f>IFERROR(VLOOKUP('RAW Data Porto'!J48, Mapping_Product!A:B, 2, FALSE), 'RAW Data Porto'!J48)</f>
        <v>Laptop Sleeve</v>
      </c>
      <c r="F48">
        <v>1</v>
      </c>
      <c r="G48">
        <v>120000</v>
      </c>
      <c r="H48" s="3">
        <f t="shared" si="0"/>
        <v>120000</v>
      </c>
      <c r="I48"/>
      <c r="J48"/>
      <c r="K48"/>
      <c r="L48"/>
      <c r="M48"/>
      <c r="N48"/>
    </row>
    <row r="49" spans="1:14" x14ac:dyDescent="0.25">
      <c r="A49">
        <v>1048</v>
      </c>
      <c r="B49" s="2">
        <v>45340</v>
      </c>
      <c r="C49" t="str">
        <v>South</v>
      </c>
      <c r="D49" t="str">
        <v>Apparel</v>
      </c>
      <c r="E49" t="str">
        <f>IFERROR(VLOOKUP('RAW Data Porto'!J49, Mapping_Product!A:B, 2, FALSE), 'RAW Data Porto'!J49)</f>
        <v>T-Shirt</v>
      </c>
      <c r="F49">
        <v>2</v>
      </c>
      <c r="G49">
        <v>75000</v>
      </c>
      <c r="H49" s="3">
        <f t="shared" si="0"/>
        <v>150000</v>
      </c>
      <c r="I49"/>
      <c r="J49"/>
      <c r="K49"/>
      <c r="L49"/>
      <c r="M49"/>
      <c r="N49"/>
    </row>
    <row r="50" spans="1:14" x14ac:dyDescent="0.25">
      <c r="A50">
        <v>1049</v>
      </c>
      <c r="B50" s="2">
        <v>45341</v>
      </c>
      <c r="C50" t="str">
        <v>West</v>
      </c>
      <c r="D50" t="str">
        <v>Electronics</v>
      </c>
      <c r="E50" t="str">
        <f>IFERROR(VLOOKUP('RAW Data Porto'!J50, Mapping_Product!A:B, 2, FALSE), 'RAW Data Porto'!J50)</f>
        <v>Keyboard</v>
      </c>
      <c r="F50">
        <v>2</v>
      </c>
      <c r="G50">
        <v>150000</v>
      </c>
      <c r="H50" s="3">
        <f t="shared" si="0"/>
        <v>300000</v>
      </c>
      <c r="I50"/>
      <c r="J50"/>
      <c r="K50"/>
      <c r="L50"/>
      <c r="M50"/>
      <c r="N50"/>
    </row>
    <row r="51" spans="1:14" x14ac:dyDescent="0.25">
      <c r="A51">
        <v>1050</v>
      </c>
      <c r="B51" s="2">
        <v>45342</v>
      </c>
      <c r="C51" t="str">
        <v>East</v>
      </c>
      <c r="D51" t="str">
        <v>Accessories</v>
      </c>
      <c r="E51" t="str">
        <f>IFERROR(VLOOKUP('RAW Data Porto'!J51, Mapping_Product!A:B, 2, FALSE), 'RAW Data Porto'!J51)</f>
        <v>Belt</v>
      </c>
      <c r="F51">
        <v>3</v>
      </c>
      <c r="G51">
        <v>55000</v>
      </c>
      <c r="H51" s="3">
        <f t="shared" si="0"/>
        <v>165000</v>
      </c>
      <c r="I51"/>
      <c r="J51"/>
      <c r="K51"/>
      <c r="L51"/>
      <c r="M51"/>
      <c r="N51"/>
    </row>
    <row r="52" spans="1:14" x14ac:dyDescent="0.25">
      <c r="A52">
        <v>1051</v>
      </c>
      <c r="B52" s="2">
        <v>45343</v>
      </c>
      <c r="C52" t="str">
        <v>North</v>
      </c>
      <c r="D52" t="str">
        <v>Footwear</v>
      </c>
      <c r="E52" t="str">
        <f>IFERROR(VLOOKUP('RAW Data Porto'!J52, Mapping_Product!A:B, 2, FALSE), 'RAW Data Porto'!J52)</f>
        <v>Shoes</v>
      </c>
      <c r="F52">
        <v>2</v>
      </c>
      <c r="G52">
        <v>250000</v>
      </c>
      <c r="H52" s="3">
        <f t="shared" si="0"/>
        <v>500000</v>
      </c>
      <c r="I52"/>
      <c r="J52"/>
      <c r="K52"/>
      <c r="L52"/>
      <c r="M52"/>
      <c r="N52"/>
    </row>
    <row r="53" spans="1:14" x14ac:dyDescent="0.25">
      <c r="A53">
        <v>1052</v>
      </c>
      <c r="B53" s="2">
        <f>B52</f>
        <v>45343</v>
      </c>
      <c r="C53" t="str">
        <v>South</v>
      </c>
      <c r="D53" t="str">
        <v>Electronics</v>
      </c>
      <c r="E53" t="str">
        <f>IFERROR(VLOOKUP('RAW Data Porto'!J53, Mapping_Product!A:B, 2, FALSE), 'RAW Data Porto'!J53)</f>
        <v>Mouse</v>
      </c>
      <c r="F53">
        <v>4</v>
      </c>
      <c r="G53">
        <v>85000</v>
      </c>
      <c r="H53" s="3">
        <f t="shared" si="0"/>
        <v>340000</v>
      </c>
      <c r="I53"/>
      <c r="J53"/>
      <c r="K53"/>
      <c r="L53"/>
      <c r="M53"/>
      <c r="N53"/>
    </row>
    <row r="54" spans="1:14" x14ac:dyDescent="0.25">
      <c r="A54">
        <v>1053</v>
      </c>
      <c r="B54" s="2">
        <v>45345</v>
      </c>
      <c r="C54" t="str">
        <v>West</v>
      </c>
      <c r="D54" t="str">
        <v>Apparel</v>
      </c>
      <c r="E54" t="str">
        <f>IFERROR(VLOOKUP('RAW Data Porto'!J54, Mapping_Product!A:B, 2, FALSE), 'RAW Data Porto'!J54)</f>
        <v>Jacket</v>
      </c>
      <c r="F54">
        <v>1</v>
      </c>
      <c r="G54">
        <v>150000</v>
      </c>
      <c r="H54" s="3">
        <f t="shared" si="0"/>
        <v>150000</v>
      </c>
      <c r="I54"/>
      <c r="J54"/>
      <c r="K54"/>
      <c r="L54"/>
      <c r="M54"/>
      <c r="N54"/>
    </row>
    <row r="55" spans="1:14" x14ac:dyDescent="0.25">
      <c r="A55">
        <v>1054</v>
      </c>
      <c r="B55" s="2">
        <v>45346</v>
      </c>
      <c r="C55" t="str">
        <v>East</v>
      </c>
      <c r="D55" t="str">
        <v>Accessories</v>
      </c>
      <c r="E55" t="str">
        <f>IFERROR(VLOOKUP('RAW Data Porto'!J55, Mapping_Product!A:B, 2, FALSE), 'RAW Data Porto'!J55)</f>
        <v>Cap</v>
      </c>
      <c r="F55">
        <v>5</v>
      </c>
      <c r="G55">
        <v>45000</v>
      </c>
      <c r="H55" s="3">
        <f t="shared" si="0"/>
        <v>225000</v>
      </c>
      <c r="I55"/>
      <c r="J55"/>
      <c r="K55"/>
      <c r="L55"/>
      <c r="M55"/>
      <c r="N55"/>
    </row>
    <row r="56" spans="1:14" x14ac:dyDescent="0.25">
      <c r="A56">
        <v>1055</v>
      </c>
      <c r="B56" s="2">
        <v>45347</v>
      </c>
      <c r="C56" t="str">
        <v>North</v>
      </c>
      <c r="D56" t="str">
        <v>Electronics</v>
      </c>
      <c r="E56" t="str">
        <f>IFERROR(VLOOKUP('RAW Data Porto'!J56, Mapping_Product!A:B, 2, FALSE), 'RAW Data Porto'!J56)</f>
        <v>Headphone</v>
      </c>
      <c r="F56">
        <v>2</v>
      </c>
      <c r="G56">
        <v>250000</v>
      </c>
      <c r="H56" s="3">
        <f t="shared" si="0"/>
        <v>500000</v>
      </c>
      <c r="I56"/>
      <c r="J56"/>
      <c r="K56"/>
      <c r="L56"/>
      <c r="M56"/>
      <c r="N56"/>
    </row>
    <row r="57" spans="1:14" x14ac:dyDescent="0.25">
      <c r="A57">
        <v>1056</v>
      </c>
      <c r="B57" s="2">
        <v>45348</v>
      </c>
      <c r="C57" t="str">
        <v>South</v>
      </c>
      <c r="D57" t="str">
        <v>Apparel</v>
      </c>
      <c r="E57" t="str">
        <f>IFERROR(VLOOKUP('RAW Data Porto'!J57, Mapping_Product!A:B, 2, FALSE), 'RAW Data Porto'!J57)</f>
        <v>T-Shirt</v>
      </c>
      <c r="F57">
        <v>3</v>
      </c>
      <c r="G57">
        <v>75000</v>
      </c>
      <c r="H57" s="3">
        <f t="shared" si="0"/>
        <v>225000</v>
      </c>
      <c r="I57"/>
      <c r="J57"/>
      <c r="K57"/>
      <c r="L57"/>
      <c r="M57"/>
      <c r="N57"/>
    </row>
    <row r="58" spans="1:14" x14ac:dyDescent="0.25">
      <c r="A58">
        <v>1057</v>
      </c>
      <c r="B58" s="2">
        <v>45349</v>
      </c>
      <c r="C58" t="str">
        <v>West</v>
      </c>
      <c r="D58" t="str">
        <v>Footwear</v>
      </c>
      <c r="E58" t="str">
        <f>IFERROR(VLOOKUP('RAW Data Porto'!J58, Mapping_Product!A:B, 2, FALSE), 'RAW Data Porto'!J58)</f>
        <v>Shoes</v>
      </c>
      <c r="F58">
        <v>4</v>
      </c>
      <c r="G58">
        <v>250000</v>
      </c>
      <c r="H58" s="3">
        <f t="shared" si="0"/>
        <v>1000000</v>
      </c>
      <c r="I58"/>
      <c r="J58"/>
      <c r="K58"/>
      <c r="L58"/>
      <c r="M58"/>
      <c r="N58"/>
    </row>
    <row r="59" spans="1:14" x14ac:dyDescent="0.25">
      <c r="A59">
        <v>1058</v>
      </c>
      <c r="B59" s="2">
        <v>45350</v>
      </c>
      <c r="C59" t="str">
        <v>East</v>
      </c>
      <c r="D59" t="str">
        <v>Electronics</v>
      </c>
      <c r="E59" t="str">
        <f>IFERROR(VLOOKUP('RAW Data Porto'!J59, Mapping_Product!A:B, 2, FALSE), 'RAW Data Porto'!J59)</f>
        <v>Laptop Sleeve</v>
      </c>
      <c r="F59">
        <v>2</v>
      </c>
      <c r="G59">
        <v>120000</v>
      </c>
      <c r="H59" s="3">
        <f t="shared" si="0"/>
        <v>240000</v>
      </c>
      <c r="I59"/>
      <c r="J59"/>
      <c r="K59"/>
      <c r="L59"/>
      <c r="M59"/>
      <c r="N59"/>
    </row>
    <row r="60" spans="1:14" x14ac:dyDescent="0.25">
      <c r="A60">
        <v>1059</v>
      </c>
      <c r="B60" s="2">
        <v>45351</v>
      </c>
      <c r="C60" t="str">
        <v>North</v>
      </c>
      <c r="D60" t="str">
        <v>Accessories</v>
      </c>
      <c r="E60" t="str">
        <f>IFERROR(VLOOKUP('RAW Data Porto'!J60, Mapping_Product!A:B, 2, FALSE), 'RAW Data Porto'!J60)</f>
        <v>Belt</v>
      </c>
      <c r="F60">
        <v>3</v>
      </c>
      <c r="G60">
        <v>55000</v>
      </c>
      <c r="H60" s="3">
        <f t="shared" si="0"/>
        <v>165000</v>
      </c>
      <c r="I60"/>
      <c r="J60"/>
      <c r="K60"/>
      <c r="L60"/>
      <c r="M60"/>
      <c r="N60"/>
    </row>
    <row r="61" spans="1:14" x14ac:dyDescent="0.25">
      <c r="A61">
        <v>1060</v>
      </c>
      <c r="B61" s="2">
        <v>45352</v>
      </c>
      <c r="C61" t="str">
        <v>South</v>
      </c>
      <c r="D61" t="str">
        <v>Apparel</v>
      </c>
      <c r="E61" t="str">
        <f>IFERROR(VLOOKUP('RAW Data Porto'!J61, Mapping_Product!A:B, 2, FALSE), 'RAW Data Porto'!J61)</f>
        <v>T-Shirt</v>
      </c>
      <c r="F61">
        <v>5</v>
      </c>
      <c r="G61">
        <v>75000</v>
      </c>
      <c r="H61" s="3">
        <f t="shared" si="0"/>
        <v>375000</v>
      </c>
      <c r="I61"/>
      <c r="J61"/>
      <c r="K61"/>
      <c r="L61"/>
      <c r="M61"/>
      <c r="N61"/>
    </row>
    <row r="62" spans="1:14" x14ac:dyDescent="0.25">
      <c r="A62">
        <v>1061</v>
      </c>
      <c r="B62" s="2">
        <f>B61</f>
        <v>45352</v>
      </c>
      <c r="C62" t="str">
        <v>West</v>
      </c>
      <c r="D62" t="str">
        <v>Electronics</v>
      </c>
      <c r="E62" t="str">
        <f>IFERROR(VLOOKUP('RAW Data Porto'!J62, Mapping_Product!A:B, 2, FALSE), 'RAW Data Porto'!J62)</f>
        <v>Mouse</v>
      </c>
      <c r="F62">
        <v>2</v>
      </c>
      <c r="G62">
        <v>85000</v>
      </c>
      <c r="H62" s="3">
        <f t="shared" si="0"/>
        <v>170000</v>
      </c>
      <c r="I62"/>
      <c r="J62"/>
      <c r="K62"/>
      <c r="L62"/>
      <c r="M62"/>
      <c r="N62"/>
    </row>
    <row r="63" spans="1:14" x14ac:dyDescent="0.25">
      <c r="A63">
        <v>1062</v>
      </c>
      <c r="B63" s="2">
        <v>45354</v>
      </c>
      <c r="C63" t="str">
        <v>East</v>
      </c>
      <c r="D63" t="str">
        <v>Footwear</v>
      </c>
      <c r="E63" t="str">
        <f>IFERROR(VLOOKUP('RAW Data Porto'!J63, Mapping_Product!A:B, 2, FALSE), 'RAW Data Porto'!J63)</f>
        <v>Shoes</v>
      </c>
      <c r="F63">
        <v>1</v>
      </c>
      <c r="G63">
        <v>250000</v>
      </c>
      <c r="H63" s="3">
        <f t="shared" si="0"/>
        <v>250000</v>
      </c>
      <c r="I63"/>
      <c r="J63"/>
      <c r="K63"/>
      <c r="L63"/>
      <c r="M63"/>
      <c r="N63"/>
    </row>
    <row r="64" spans="1:14" x14ac:dyDescent="0.25">
      <c r="A64">
        <v>1063</v>
      </c>
      <c r="B64" s="2">
        <v>45355</v>
      </c>
      <c r="C64" t="str">
        <v>North</v>
      </c>
      <c r="D64" t="str">
        <v>Apparel</v>
      </c>
      <c r="E64" t="str">
        <f>IFERROR(VLOOKUP('RAW Data Porto'!J64, Mapping_Product!A:B, 2, FALSE), 'RAW Data Porto'!J64)</f>
        <v>Jacket</v>
      </c>
      <c r="F64">
        <v>2</v>
      </c>
      <c r="G64">
        <v>150000</v>
      </c>
      <c r="H64" s="3">
        <f t="shared" si="0"/>
        <v>300000</v>
      </c>
      <c r="I64"/>
      <c r="J64"/>
      <c r="K64"/>
      <c r="L64"/>
      <c r="M64"/>
      <c r="N64"/>
    </row>
    <row r="65" spans="1:14" x14ac:dyDescent="0.25">
      <c r="A65">
        <v>1064</v>
      </c>
      <c r="B65" s="2">
        <v>45356</v>
      </c>
      <c r="C65" t="str">
        <v>South</v>
      </c>
      <c r="D65" t="str">
        <v>Accessories</v>
      </c>
      <c r="E65" t="str">
        <f>IFERROR(VLOOKUP('RAW Data Porto'!J65, Mapping_Product!A:B, 2, FALSE), 'RAW Data Porto'!J65)</f>
        <v>Cap</v>
      </c>
      <c r="F65">
        <v>4</v>
      </c>
      <c r="G65">
        <v>45000</v>
      </c>
      <c r="H65" s="3">
        <f t="shared" si="0"/>
        <v>180000</v>
      </c>
      <c r="I65"/>
      <c r="J65"/>
      <c r="K65"/>
      <c r="L65"/>
      <c r="M65"/>
      <c r="N65"/>
    </row>
    <row r="66" spans="1:14" x14ac:dyDescent="0.25">
      <c r="A66">
        <v>1065</v>
      </c>
      <c r="B66" s="2">
        <v>45357</v>
      </c>
      <c r="C66" t="str">
        <v>West</v>
      </c>
      <c r="D66" t="str">
        <v>Electronics</v>
      </c>
      <c r="E66" t="str">
        <f>IFERROR(VLOOKUP('RAW Data Porto'!J66, Mapping_Product!A:B, 2, FALSE), 'RAW Data Porto'!J66)</f>
        <v>Keyboard</v>
      </c>
      <c r="F66">
        <v>3</v>
      </c>
      <c r="G66">
        <v>150000</v>
      </c>
      <c r="H66" s="3">
        <f t="shared" si="0"/>
        <v>450000</v>
      </c>
      <c r="I66"/>
      <c r="J66"/>
      <c r="K66"/>
      <c r="L66"/>
      <c r="M66"/>
      <c r="N66"/>
    </row>
    <row r="67" spans="1:14" x14ac:dyDescent="0.25">
      <c r="A67">
        <v>1066</v>
      </c>
      <c r="B67" s="2">
        <v>45358</v>
      </c>
      <c r="C67" t="str">
        <v>East</v>
      </c>
      <c r="D67" t="str">
        <v>Apparel</v>
      </c>
      <c r="E67" t="str">
        <f>IFERROR(VLOOKUP('RAW Data Porto'!J67, Mapping_Product!A:B, 2, FALSE), 'RAW Data Porto'!J67)</f>
        <v>T-Shirt</v>
      </c>
      <c r="F67">
        <v>2</v>
      </c>
      <c r="G67">
        <v>75000</v>
      </c>
      <c r="H67" s="3">
        <f t="shared" ref="H67:H71" si="1">F67*G67</f>
        <v>150000</v>
      </c>
      <c r="I67"/>
      <c r="J67"/>
      <c r="K67"/>
      <c r="L67"/>
      <c r="M67"/>
      <c r="N67"/>
    </row>
    <row r="68" spans="1:14" x14ac:dyDescent="0.25">
      <c r="A68">
        <v>1067</v>
      </c>
      <c r="B68" s="2">
        <v>45359</v>
      </c>
      <c r="C68" t="str">
        <v>North</v>
      </c>
      <c r="D68" t="str">
        <v>Footwear</v>
      </c>
      <c r="E68" t="str">
        <f>IFERROR(VLOOKUP('RAW Data Porto'!J68, Mapping_Product!A:B, 2, FALSE), 'RAW Data Porto'!J68)</f>
        <v>Shoes</v>
      </c>
      <c r="F68">
        <v>3</v>
      </c>
      <c r="G68">
        <v>250000</v>
      </c>
      <c r="H68" s="3">
        <f t="shared" si="1"/>
        <v>750000</v>
      </c>
      <c r="I68"/>
      <c r="J68"/>
      <c r="K68"/>
      <c r="L68"/>
      <c r="M68"/>
      <c r="N68"/>
    </row>
    <row r="69" spans="1:14" x14ac:dyDescent="0.25">
      <c r="A69">
        <v>1068</v>
      </c>
      <c r="B69" s="2">
        <f>B68</f>
        <v>45359</v>
      </c>
      <c r="C69" t="str">
        <v>South</v>
      </c>
      <c r="D69" t="str">
        <v>Electronics</v>
      </c>
      <c r="E69" t="str">
        <f>IFERROR(VLOOKUP('RAW Data Porto'!J69, Mapping_Product!A:B, 2, FALSE), 'RAW Data Porto'!J69)</f>
        <v>Headphone</v>
      </c>
      <c r="F69">
        <v>1</v>
      </c>
      <c r="G69">
        <v>250000</v>
      </c>
      <c r="H69" s="3">
        <f t="shared" si="1"/>
        <v>250000</v>
      </c>
      <c r="I69"/>
      <c r="J69"/>
      <c r="K69"/>
      <c r="L69"/>
      <c r="M69"/>
      <c r="N69"/>
    </row>
    <row r="70" spans="1:14" x14ac:dyDescent="0.25">
      <c r="A70">
        <v>1069</v>
      </c>
      <c r="B70" s="2">
        <v>45361</v>
      </c>
      <c r="C70" t="str">
        <v>West</v>
      </c>
      <c r="D70" t="str">
        <v>Accessories</v>
      </c>
      <c r="E70" t="str">
        <f>IFERROR(VLOOKUP('RAW Data Porto'!J70, Mapping_Product!A:B, 2, FALSE), 'RAW Data Porto'!J70)</f>
        <v>Belt</v>
      </c>
      <c r="F70">
        <v>2</v>
      </c>
      <c r="G70">
        <v>55000</v>
      </c>
      <c r="H70" s="3">
        <f t="shared" si="1"/>
        <v>110000</v>
      </c>
      <c r="I70"/>
      <c r="J70"/>
      <c r="K70"/>
      <c r="L70"/>
      <c r="M70"/>
      <c r="N70"/>
    </row>
    <row r="71" spans="1:14" x14ac:dyDescent="0.25">
      <c r="A71">
        <v>1070</v>
      </c>
      <c r="B71" s="2">
        <v>45362</v>
      </c>
      <c r="C71" t="str">
        <v>East</v>
      </c>
      <c r="D71" t="str">
        <v>Apparel</v>
      </c>
      <c r="E71" t="str">
        <f>IFERROR(VLOOKUP('RAW Data Porto'!J71, Mapping_Product!A:B, 2, FALSE), 'RAW Data Porto'!J71)</f>
        <v>Jacket</v>
      </c>
      <c r="F71">
        <v>1</v>
      </c>
      <c r="G71">
        <v>150000</v>
      </c>
      <c r="H71" s="3">
        <f t="shared" si="1"/>
        <v>150000</v>
      </c>
      <c r="I71"/>
      <c r="J71"/>
      <c r="K71"/>
      <c r="L71"/>
      <c r="M71"/>
      <c r="N71"/>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8EBE7-148A-43AD-A5F5-C7525BB2F278}">
  <sheetPr codeName="Sheet12"/>
  <dimension ref="A1:D6"/>
  <sheetViews>
    <sheetView workbookViewId="0">
      <selection activeCell="D2" sqref="D2:D6"/>
    </sheetView>
  </sheetViews>
  <sheetFormatPr defaultRowHeight="15" x14ac:dyDescent="0.25"/>
  <cols>
    <col min="1" max="1" width="13.7109375" bestFit="1" customWidth="1"/>
    <col min="2" max="2" width="16.42578125" bestFit="1" customWidth="1"/>
    <col min="4" max="4" width="76.7109375" bestFit="1" customWidth="1"/>
  </cols>
  <sheetData>
    <row r="1" spans="1:4" x14ac:dyDescent="0.25">
      <c r="A1" s="1" t="s">
        <v>4</v>
      </c>
      <c r="B1" s="1" t="s">
        <v>3</v>
      </c>
      <c r="D1" s="7" t="s">
        <v>94</v>
      </c>
    </row>
    <row r="2" spans="1:4" x14ac:dyDescent="0.25">
      <c r="A2" t="s">
        <v>2</v>
      </c>
      <c r="B2" t="s">
        <v>0</v>
      </c>
      <c r="D2" s="1" t="s">
        <v>95</v>
      </c>
    </row>
    <row r="3" spans="1:4" x14ac:dyDescent="0.25">
      <c r="A3" t="s">
        <v>1</v>
      </c>
      <c r="B3" t="s">
        <v>0</v>
      </c>
      <c r="D3" s="1" t="s">
        <v>96</v>
      </c>
    </row>
    <row r="4" spans="1:4" x14ac:dyDescent="0.25">
      <c r="D4" s="1"/>
    </row>
    <row r="5" spans="1:4" x14ac:dyDescent="0.25">
      <c r="D5" s="22" t="s">
        <v>97</v>
      </c>
    </row>
    <row r="6" spans="1:4" x14ac:dyDescent="0.25">
      <c r="D6" s="1" t="s">
        <v>98</v>
      </c>
    </row>
  </sheetData>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848C97-82E4-4B4E-9045-3B58B5FC441C}">
  <sheetPr codeName="Sheet9"/>
  <dimension ref="A1:L71"/>
  <sheetViews>
    <sheetView topLeftCell="B1" workbookViewId="0">
      <selection activeCell="L2" sqref="L2:L12"/>
    </sheetView>
  </sheetViews>
  <sheetFormatPr defaultRowHeight="15" x14ac:dyDescent="0.25"/>
  <cols>
    <col min="1" max="1" width="9" bestFit="1" customWidth="1"/>
    <col min="2" max="2" width="11.28515625" bestFit="1" customWidth="1"/>
    <col min="3" max="3" width="7.140625" bestFit="1" customWidth="1"/>
    <col min="4" max="4" width="11.28515625" bestFit="1" customWidth="1"/>
    <col min="5" max="5" width="13.5703125" bestFit="1" customWidth="1"/>
    <col min="6" max="6" width="8.7109375" bestFit="1" customWidth="1"/>
    <col min="7" max="7" width="10.28515625" bestFit="1" customWidth="1"/>
    <col min="8" max="8" width="11" bestFit="1" customWidth="1"/>
    <col min="10" max="10" width="19.28515625" bestFit="1" customWidth="1"/>
    <col min="12" max="12" width="72" bestFit="1" customWidth="1"/>
  </cols>
  <sheetData>
    <row r="1" spans="1:12" x14ac:dyDescent="0.25">
      <c r="A1" s="1" t="s">
        <v>25</v>
      </c>
      <c r="B1" s="1" t="s">
        <v>24</v>
      </c>
      <c r="C1" s="1" t="s">
        <v>85</v>
      </c>
      <c r="D1" s="1" t="s">
        <v>84</v>
      </c>
      <c r="E1" s="1" t="s">
        <v>83</v>
      </c>
      <c r="F1" s="1" t="s">
        <v>23</v>
      </c>
      <c r="G1" s="1" t="s">
        <v>22</v>
      </c>
      <c r="H1" s="1" t="s">
        <v>21</v>
      </c>
      <c r="J1" s="1" t="s">
        <v>82</v>
      </c>
      <c r="L1" s="7" t="s">
        <v>99</v>
      </c>
    </row>
    <row r="2" spans="1:12" x14ac:dyDescent="0.25">
      <c r="A2">
        <v>1001</v>
      </c>
      <c r="B2" s="2">
        <v>45292</v>
      </c>
      <c r="C2" t="s">
        <v>20</v>
      </c>
      <c r="D2" t="s">
        <v>6</v>
      </c>
      <c r="E2" t="s">
        <v>15</v>
      </c>
      <c r="F2">
        <v>5</v>
      </c>
      <c r="G2">
        <v>75000</v>
      </c>
      <c r="H2">
        <v>375000</v>
      </c>
      <c r="J2" t="str" cm="1">
        <f t="array" ref="J2:J71">PROPER(TRIM(SUBSTITUTE($E$2:$E$71," ","-")))</f>
        <v>T-Shirt</v>
      </c>
      <c r="L2" s="1" t="s">
        <v>113</v>
      </c>
    </row>
    <row r="3" spans="1:12" x14ac:dyDescent="0.25">
      <c r="A3">
        <v>1002</v>
      </c>
      <c r="B3" s="2">
        <v>45293</v>
      </c>
      <c r="C3" t="s">
        <v>72</v>
      </c>
      <c r="D3" t="s">
        <v>81</v>
      </c>
      <c r="E3" t="s">
        <v>80</v>
      </c>
      <c r="F3">
        <v>3</v>
      </c>
      <c r="G3">
        <v>75000</v>
      </c>
      <c r="H3">
        <v>225000</v>
      </c>
      <c r="J3" t="str">
        <v>T-Shirt</v>
      </c>
      <c r="L3" s="1" t="s">
        <v>104</v>
      </c>
    </row>
    <row r="4" spans="1:12" x14ac:dyDescent="0.25">
      <c r="A4">
        <v>1003</v>
      </c>
      <c r="B4" s="2">
        <v>45294</v>
      </c>
      <c r="C4" t="s">
        <v>14</v>
      </c>
      <c r="D4" t="s">
        <v>11</v>
      </c>
      <c r="E4" t="s">
        <v>10</v>
      </c>
      <c r="F4">
        <v>2</v>
      </c>
      <c r="G4">
        <v>250000</v>
      </c>
      <c r="H4">
        <v>500000</v>
      </c>
      <c r="J4" t="str">
        <v>Headphone</v>
      </c>
      <c r="L4" s="1" t="s">
        <v>105</v>
      </c>
    </row>
    <row r="5" spans="1:12" x14ac:dyDescent="0.25">
      <c r="A5">
        <v>1004</v>
      </c>
      <c r="C5" t="s">
        <v>12</v>
      </c>
      <c r="D5" t="s">
        <v>8</v>
      </c>
      <c r="E5" t="s">
        <v>17</v>
      </c>
      <c r="F5">
        <v>4</v>
      </c>
      <c r="G5">
        <v>45000</v>
      </c>
      <c r="H5">
        <v>180000</v>
      </c>
      <c r="J5" t="str">
        <v>Cap</v>
      </c>
      <c r="L5" s="1"/>
    </row>
    <row r="6" spans="1:12" x14ac:dyDescent="0.25">
      <c r="A6">
        <v>1005</v>
      </c>
      <c r="B6" s="2">
        <v>45296</v>
      </c>
      <c r="C6" t="s">
        <v>9</v>
      </c>
      <c r="D6" t="s">
        <v>6</v>
      </c>
      <c r="E6" t="s">
        <v>5</v>
      </c>
      <c r="F6">
        <v>1</v>
      </c>
      <c r="G6">
        <v>150000</v>
      </c>
      <c r="H6">
        <v>150000</v>
      </c>
      <c r="J6" t="str">
        <v>Jacket</v>
      </c>
      <c r="L6" s="1" t="s">
        <v>106</v>
      </c>
    </row>
    <row r="7" spans="1:12" x14ac:dyDescent="0.25">
      <c r="A7">
        <v>1006</v>
      </c>
      <c r="B7" s="2">
        <v>45297</v>
      </c>
      <c r="C7" t="s">
        <v>70</v>
      </c>
      <c r="D7" t="s">
        <v>6</v>
      </c>
      <c r="E7" t="s">
        <v>76</v>
      </c>
      <c r="F7">
        <v>6</v>
      </c>
      <c r="G7">
        <v>75000</v>
      </c>
      <c r="H7">
        <v>450000</v>
      </c>
      <c r="J7" t="str">
        <v>T-Shirt</v>
      </c>
      <c r="L7" s="1" t="s">
        <v>107</v>
      </c>
    </row>
    <row r="8" spans="1:12" x14ac:dyDescent="0.25">
      <c r="A8">
        <v>1007</v>
      </c>
      <c r="B8" s="2">
        <v>45298</v>
      </c>
      <c r="C8" t="s">
        <v>14</v>
      </c>
      <c r="D8" t="s">
        <v>11</v>
      </c>
      <c r="E8" t="s">
        <v>0</v>
      </c>
      <c r="F8">
        <v>2</v>
      </c>
      <c r="G8">
        <v>120000</v>
      </c>
      <c r="H8">
        <v>240000</v>
      </c>
      <c r="J8" t="str">
        <v>Laptop-Sleeve</v>
      </c>
      <c r="L8" s="1" t="s">
        <v>108</v>
      </c>
    </row>
    <row r="9" spans="1:12" x14ac:dyDescent="0.25">
      <c r="A9">
        <v>1008</v>
      </c>
      <c r="B9" s="2">
        <v>45299</v>
      </c>
      <c r="C9" t="s">
        <v>79</v>
      </c>
      <c r="D9" t="s">
        <v>8</v>
      </c>
      <c r="E9" t="s">
        <v>7</v>
      </c>
      <c r="F9">
        <v>3</v>
      </c>
      <c r="G9">
        <v>55000</v>
      </c>
      <c r="H9">
        <v>165000</v>
      </c>
      <c r="J9" t="str">
        <v>Belt</v>
      </c>
      <c r="L9" s="1" t="s">
        <v>109</v>
      </c>
    </row>
    <row r="10" spans="1:12" x14ac:dyDescent="0.25">
      <c r="A10">
        <v>1009</v>
      </c>
      <c r="B10" s="2">
        <v>45300</v>
      </c>
      <c r="C10" t="s">
        <v>9</v>
      </c>
      <c r="D10" t="s">
        <v>13</v>
      </c>
      <c r="E10" t="s">
        <v>18</v>
      </c>
      <c r="F10">
        <v>2</v>
      </c>
      <c r="G10">
        <v>250000</v>
      </c>
      <c r="H10">
        <v>500000</v>
      </c>
      <c r="J10" t="str">
        <v>Shoes</v>
      </c>
      <c r="L10" s="1" t="s">
        <v>110</v>
      </c>
    </row>
    <row r="11" spans="1:12" x14ac:dyDescent="0.25">
      <c r="A11">
        <v>1010</v>
      </c>
      <c r="B11" s="2">
        <v>45301</v>
      </c>
      <c r="C11" t="s">
        <v>20</v>
      </c>
      <c r="D11" t="s">
        <v>78</v>
      </c>
      <c r="E11" t="s">
        <v>71</v>
      </c>
      <c r="F11">
        <v>1</v>
      </c>
      <c r="G11">
        <v>250000</v>
      </c>
      <c r="H11">
        <v>250000</v>
      </c>
      <c r="J11" t="str">
        <v>Shoes</v>
      </c>
      <c r="L11" s="1" t="s">
        <v>111</v>
      </c>
    </row>
    <row r="12" spans="1:12" x14ac:dyDescent="0.25">
      <c r="A12">
        <v>1011</v>
      </c>
      <c r="B12" s="2">
        <v>45302</v>
      </c>
      <c r="C12" t="s">
        <v>14</v>
      </c>
      <c r="D12" t="s">
        <v>6</v>
      </c>
      <c r="E12" t="s">
        <v>15</v>
      </c>
      <c r="F12">
        <v>4</v>
      </c>
      <c r="G12">
        <v>75000</v>
      </c>
      <c r="H12">
        <v>300000</v>
      </c>
      <c r="J12" t="str">
        <v>T-Shirt</v>
      </c>
      <c r="L12" s="1" t="s">
        <v>112</v>
      </c>
    </row>
    <row r="13" spans="1:12" x14ac:dyDescent="0.25">
      <c r="A13">
        <v>1012</v>
      </c>
      <c r="B13" s="2">
        <v>45303</v>
      </c>
      <c r="C13" t="s">
        <v>12</v>
      </c>
      <c r="D13" t="s">
        <v>11</v>
      </c>
      <c r="E13" t="s">
        <v>19</v>
      </c>
      <c r="F13">
        <v>5</v>
      </c>
      <c r="G13">
        <v>85000</v>
      </c>
      <c r="H13">
        <v>425000</v>
      </c>
      <c r="J13" t="str">
        <v>Mouse</v>
      </c>
    </row>
    <row r="14" spans="1:12" x14ac:dyDescent="0.25">
      <c r="A14">
        <v>1013</v>
      </c>
      <c r="B14" s="2">
        <v>45304</v>
      </c>
      <c r="C14" t="s">
        <v>9</v>
      </c>
      <c r="D14" t="s">
        <v>8</v>
      </c>
      <c r="E14" t="s">
        <v>17</v>
      </c>
      <c r="F14">
        <v>2</v>
      </c>
      <c r="G14">
        <v>45000</v>
      </c>
      <c r="H14">
        <v>90000</v>
      </c>
      <c r="J14" t="str">
        <v>Cap</v>
      </c>
    </row>
    <row r="15" spans="1:12" x14ac:dyDescent="0.25">
      <c r="A15">
        <v>1014</v>
      </c>
      <c r="C15" t="s">
        <v>72</v>
      </c>
      <c r="D15" t="s">
        <v>6</v>
      </c>
      <c r="E15" t="s">
        <v>77</v>
      </c>
      <c r="F15">
        <v>3</v>
      </c>
      <c r="G15">
        <v>75000</v>
      </c>
      <c r="H15">
        <v>225000</v>
      </c>
      <c r="J15" t="str">
        <v>T-Shirt</v>
      </c>
    </row>
    <row r="16" spans="1:12" x14ac:dyDescent="0.25">
      <c r="A16">
        <v>1015</v>
      </c>
      <c r="B16" s="2">
        <v>45306</v>
      </c>
      <c r="C16" t="s">
        <v>14</v>
      </c>
      <c r="D16" t="s">
        <v>11</v>
      </c>
      <c r="E16" t="s">
        <v>16</v>
      </c>
      <c r="F16">
        <v>1</v>
      </c>
      <c r="G16">
        <v>150000</v>
      </c>
      <c r="H16">
        <v>150000</v>
      </c>
      <c r="J16" t="str">
        <v>Keyboard</v>
      </c>
    </row>
    <row r="17" spans="1:10" x14ac:dyDescent="0.25">
      <c r="A17">
        <v>1016</v>
      </c>
      <c r="B17" s="2">
        <v>45307</v>
      </c>
      <c r="C17" t="s">
        <v>12</v>
      </c>
      <c r="D17" t="s">
        <v>8</v>
      </c>
      <c r="E17" t="s">
        <v>7</v>
      </c>
      <c r="F17">
        <v>4</v>
      </c>
      <c r="G17">
        <v>55000</v>
      </c>
      <c r="H17">
        <v>220000</v>
      </c>
      <c r="J17" t="str">
        <v>Belt</v>
      </c>
    </row>
    <row r="18" spans="1:10" x14ac:dyDescent="0.25">
      <c r="A18">
        <v>1017</v>
      </c>
      <c r="B18" s="2">
        <v>45308</v>
      </c>
      <c r="C18" t="s">
        <v>9</v>
      </c>
      <c r="D18" t="s">
        <v>13</v>
      </c>
      <c r="E18" t="s">
        <v>18</v>
      </c>
      <c r="F18">
        <v>3</v>
      </c>
      <c r="G18">
        <v>250000</v>
      </c>
      <c r="H18">
        <v>750000</v>
      </c>
      <c r="J18" t="str">
        <v>Shoes</v>
      </c>
    </row>
    <row r="19" spans="1:10" x14ac:dyDescent="0.25">
      <c r="A19">
        <v>1018</v>
      </c>
      <c r="B19" s="2">
        <v>45309</v>
      </c>
      <c r="C19" t="s">
        <v>70</v>
      </c>
      <c r="D19" t="s">
        <v>6</v>
      </c>
      <c r="E19" t="s">
        <v>5</v>
      </c>
      <c r="F19">
        <v>2</v>
      </c>
      <c r="G19">
        <v>150000</v>
      </c>
      <c r="H19">
        <v>300000</v>
      </c>
      <c r="J19" t="str">
        <v>Jacket</v>
      </c>
    </row>
    <row r="20" spans="1:10" x14ac:dyDescent="0.25">
      <c r="A20">
        <v>1019</v>
      </c>
      <c r="B20" s="2">
        <v>45310</v>
      </c>
      <c r="C20" t="s">
        <v>75</v>
      </c>
      <c r="D20" t="s">
        <v>11</v>
      </c>
      <c r="E20" t="s">
        <v>10</v>
      </c>
      <c r="F20">
        <v>3</v>
      </c>
      <c r="G20">
        <v>250000</v>
      </c>
      <c r="H20">
        <v>750000</v>
      </c>
      <c r="J20" t="str">
        <v>Headphone</v>
      </c>
    </row>
    <row r="21" spans="1:10" x14ac:dyDescent="0.25">
      <c r="A21">
        <v>1020</v>
      </c>
      <c r="B21" s="2">
        <v>45311</v>
      </c>
      <c r="C21" t="s">
        <v>12</v>
      </c>
      <c r="D21" t="s">
        <v>8</v>
      </c>
      <c r="E21" t="s">
        <v>74</v>
      </c>
      <c r="F21">
        <v>5</v>
      </c>
      <c r="G21">
        <v>45000</v>
      </c>
      <c r="H21">
        <v>225000</v>
      </c>
      <c r="J21" t="str">
        <v>Cap</v>
      </c>
    </row>
    <row r="22" spans="1:10" x14ac:dyDescent="0.25">
      <c r="A22">
        <v>1021</v>
      </c>
      <c r="B22" s="2">
        <v>45312</v>
      </c>
      <c r="C22" t="s">
        <v>9</v>
      </c>
      <c r="D22" t="s">
        <v>6</v>
      </c>
      <c r="E22" t="s">
        <v>76</v>
      </c>
      <c r="F22">
        <v>2</v>
      </c>
      <c r="G22">
        <v>75000</v>
      </c>
      <c r="H22">
        <v>150000</v>
      </c>
      <c r="J22" t="str">
        <v>T-Shirt</v>
      </c>
    </row>
    <row r="23" spans="1:10" x14ac:dyDescent="0.25">
      <c r="A23">
        <v>1022</v>
      </c>
      <c r="B23" s="2">
        <v>45313</v>
      </c>
      <c r="C23" t="s">
        <v>20</v>
      </c>
      <c r="D23" t="s">
        <v>11</v>
      </c>
      <c r="E23" t="s">
        <v>19</v>
      </c>
      <c r="F23">
        <v>4</v>
      </c>
      <c r="G23">
        <v>85000</v>
      </c>
      <c r="H23">
        <v>340000</v>
      </c>
      <c r="J23" t="str">
        <v>Mouse</v>
      </c>
    </row>
    <row r="24" spans="1:10" x14ac:dyDescent="0.25">
      <c r="A24">
        <v>1023</v>
      </c>
      <c r="B24" s="2">
        <v>45314</v>
      </c>
      <c r="C24" t="s">
        <v>14</v>
      </c>
      <c r="D24" t="s">
        <v>8</v>
      </c>
      <c r="E24" t="s">
        <v>7</v>
      </c>
      <c r="F24">
        <v>2</v>
      </c>
      <c r="G24">
        <v>55000</v>
      </c>
      <c r="H24">
        <v>110000</v>
      </c>
      <c r="J24" t="str">
        <v>Belt</v>
      </c>
    </row>
    <row r="25" spans="1:10" x14ac:dyDescent="0.25">
      <c r="A25">
        <v>1024</v>
      </c>
      <c r="C25" t="s">
        <v>12</v>
      </c>
      <c r="D25" t="s">
        <v>13</v>
      </c>
      <c r="E25" t="s">
        <v>18</v>
      </c>
      <c r="F25">
        <v>1</v>
      </c>
      <c r="G25">
        <v>250000</v>
      </c>
      <c r="H25">
        <v>250000</v>
      </c>
      <c r="J25" t="str">
        <v>Shoes</v>
      </c>
    </row>
    <row r="26" spans="1:10" x14ac:dyDescent="0.25">
      <c r="A26">
        <v>1025</v>
      </c>
      <c r="B26" s="2">
        <v>45316</v>
      </c>
      <c r="C26" t="s">
        <v>9</v>
      </c>
      <c r="D26" t="s">
        <v>6</v>
      </c>
      <c r="E26" t="s">
        <v>15</v>
      </c>
      <c r="F26">
        <v>3</v>
      </c>
      <c r="G26">
        <v>75000</v>
      </c>
      <c r="H26">
        <v>225000</v>
      </c>
      <c r="J26" t="str">
        <v>T-Shirt</v>
      </c>
    </row>
    <row r="27" spans="1:10" x14ac:dyDescent="0.25">
      <c r="A27">
        <v>1026</v>
      </c>
      <c r="B27" s="2">
        <v>45317</v>
      </c>
      <c r="C27" t="s">
        <v>72</v>
      </c>
      <c r="D27" t="s">
        <v>11</v>
      </c>
      <c r="E27" t="s">
        <v>16</v>
      </c>
      <c r="F27">
        <v>2</v>
      </c>
      <c r="G27">
        <v>150000</v>
      </c>
      <c r="H27">
        <v>300000</v>
      </c>
      <c r="J27" t="str">
        <v>Keyboard</v>
      </c>
    </row>
    <row r="28" spans="1:10" x14ac:dyDescent="0.25">
      <c r="A28">
        <v>1027</v>
      </c>
      <c r="B28" s="2">
        <v>45318</v>
      </c>
      <c r="C28" t="s">
        <v>14</v>
      </c>
      <c r="D28" t="s">
        <v>8</v>
      </c>
      <c r="E28" t="s">
        <v>17</v>
      </c>
      <c r="F28">
        <v>4</v>
      </c>
      <c r="G28">
        <v>45000</v>
      </c>
      <c r="H28">
        <v>180000</v>
      </c>
      <c r="J28" t="str">
        <v>Cap</v>
      </c>
    </row>
    <row r="29" spans="1:10" x14ac:dyDescent="0.25">
      <c r="A29">
        <v>1028</v>
      </c>
      <c r="B29" s="2">
        <v>45319</v>
      </c>
      <c r="C29" t="s">
        <v>12</v>
      </c>
      <c r="D29" t="s">
        <v>6</v>
      </c>
      <c r="E29" t="s">
        <v>5</v>
      </c>
      <c r="F29">
        <v>1</v>
      </c>
      <c r="G29">
        <v>150000</v>
      </c>
      <c r="H29">
        <v>150000</v>
      </c>
      <c r="J29" t="str">
        <v>Jacket</v>
      </c>
    </row>
    <row r="30" spans="1:10" x14ac:dyDescent="0.25">
      <c r="A30">
        <v>1029</v>
      </c>
      <c r="B30" s="2">
        <v>45320</v>
      </c>
      <c r="C30" t="s">
        <v>9</v>
      </c>
      <c r="D30" t="s">
        <v>13</v>
      </c>
      <c r="E30" t="s">
        <v>71</v>
      </c>
      <c r="F30">
        <v>2</v>
      </c>
      <c r="G30">
        <v>250000</v>
      </c>
      <c r="H30">
        <v>500000</v>
      </c>
      <c r="J30" t="str">
        <v>Shoes</v>
      </c>
    </row>
    <row r="31" spans="1:10" x14ac:dyDescent="0.25">
      <c r="A31">
        <v>1030</v>
      </c>
      <c r="B31" s="2">
        <v>45321</v>
      </c>
      <c r="C31" t="s">
        <v>70</v>
      </c>
      <c r="D31" t="s">
        <v>11</v>
      </c>
      <c r="E31" t="s">
        <v>0</v>
      </c>
      <c r="F31">
        <v>3</v>
      </c>
      <c r="G31">
        <v>120000</v>
      </c>
      <c r="H31">
        <v>360000</v>
      </c>
      <c r="J31" t="str">
        <v>Laptop-Sleeve</v>
      </c>
    </row>
    <row r="32" spans="1:10" x14ac:dyDescent="0.25">
      <c r="A32">
        <v>1031</v>
      </c>
      <c r="B32" s="2">
        <v>45323</v>
      </c>
      <c r="C32" t="s">
        <v>14</v>
      </c>
      <c r="D32" t="s">
        <v>6</v>
      </c>
      <c r="E32" t="s">
        <v>15</v>
      </c>
      <c r="F32">
        <v>5</v>
      </c>
      <c r="G32">
        <v>75000</v>
      </c>
      <c r="H32">
        <v>375000</v>
      </c>
      <c r="J32" t="str">
        <v>T-Shirt</v>
      </c>
    </row>
    <row r="33" spans="1:10" x14ac:dyDescent="0.25">
      <c r="A33">
        <v>1032</v>
      </c>
      <c r="B33" s="2">
        <v>45324</v>
      </c>
      <c r="C33" t="s">
        <v>12</v>
      </c>
      <c r="D33" t="s">
        <v>8</v>
      </c>
      <c r="E33" t="s">
        <v>7</v>
      </c>
      <c r="F33">
        <v>3</v>
      </c>
      <c r="G33">
        <v>55000</v>
      </c>
      <c r="H33">
        <v>165000</v>
      </c>
      <c r="J33" t="str">
        <v>Belt</v>
      </c>
    </row>
    <row r="34" spans="1:10" x14ac:dyDescent="0.25">
      <c r="A34">
        <v>1033</v>
      </c>
      <c r="C34" t="s">
        <v>9</v>
      </c>
      <c r="D34" t="s">
        <v>11</v>
      </c>
      <c r="E34" t="s">
        <v>19</v>
      </c>
      <c r="F34">
        <v>2</v>
      </c>
      <c r="G34">
        <v>85000</v>
      </c>
      <c r="H34">
        <v>170000</v>
      </c>
      <c r="J34" t="str">
        <v>Mouse</v>
      </c>
    </row>
    <row r="35" spans="1:10" x14ac:dyDescent="0.25">
      <c r="A35">
        <v>1034</v>
      </c>
      <c r="B35" s="2">
        <v>45326</v>
      </c>
      <c r="C35" t="s">
        <v>72</v>
      </c>
      <c r="D35" t="s">
        <v>13</v>
      </c>
      <c r="E35" t="s">
        <v>18</v>
      </c>
      <c r="F35">
        <v>4</v>
      </c>
      <c r="G35">
        <v>250000</v>
      </c>
      <c r="H35">
        <v>1000000</v>
      </c>
      <c r="J35" t="str">
        <v>Shoes</v>
      </c>
    </row>
    <row r="36" spans="1:10" x14ac:dyDescent="0.25">
      <c r="A36">
        <v>1035</v>
      </c>
      <c r="B36" s="2">
        <v>45327</v>
      </c>
      <c r="C36" t="s">
        <v>14</v>
      </c>
      <c r="D36" t="s">
        <v>6</v>
      </c>
      <c r="E36" t="s">
        <v>5</v>
      </c>
      <c r="F36">
        <v>1</v>
      </c>
      <c r="G36">
        <v>150000</v>
      </c>
      <c r="H36">
        <v>150000</v>
      </c>
      <c r="J36" t="str">
        <v>Jacket</v>
      </c>
    </row>
    <row r="37" spans="1:10" x14ac:dyDescent="0.25">
      <c r="A37">
        <v>1036</v>
      </c>
      <c r="B37" s="2">
        <v>45328</v>
      </c>
      <c r="C37" t="s">
        <v>12</v>
      </c>
      <c r="D37" t="s">
        <v>8</v>
      </c>
      <c r="E37" t="s">
        <v>74</v>
      </c>
      <c r="F37">
        <v>6</v>
      </c>
      <c r="G37">
        <v>45000</v>
      </c>
      <c r="H37">
        <v>270000</v>
      </c>
      <c r="J37" t="str">
        <v>Cap</v>
      </c>
    </row>
    <row r="38" spans="1:10" x14ac:dyDescent="0.25">
      <c r="A38">
        <v>1037</v>
      </c>
      <c r="B38" s="2">
        <v>45329</v>
      </c>
      <c r="C38" t="s">
        <v>9</v>
      </c>
      <c r="D38" t="s">
        <v>11</v>
      </c>
      <c r="E38" t="s">
        <v>16</v>
      </c>
      <c r="F38">
        <v>3</v>
      </c>
      <c r="G38">
        <v>150000</v>
      </c>
      <c r="H38">
        <v>450000</v>
      </c>
      <c r="J38" t="str">
        <v>Keyboard</v>
      </c>
    </row>
    <row r="39" spans="1:10" x14ac:dyDescent="0.25">
      <c r="A39">
        <v>1038</v>
      </c>
      <c r="B39" s="2">
        <v>45330</v>
      </c>
      <c r="C39" t="s">
        <v>70</v>
      </c>
      <c r="D39" t="s">
        <v>6</v>
      </c>
      <c r="E39" t="s">
        <v>73</v>
      </c>
      <c r="F39">
        <v>2</v>
      </c>
      <c r="G39">
        <v>75000</v>
      </c>
      <c r="H39">
        <v>150000</v>
      </c>
      <c r="J39" t="str">
        <v>T-Shirt</v>
      </c>
    </row>
    <row r="40" spans="1:10" x14ac:dyDescent="0.25">
      <c r="A40">
        <v>1039</v>
      </c>
      <c r="B40" s="2">
        <v>45331</v>
      </c>
      <c r="C40" t="s">
        <v>75</v>
      </c>
      <c r="D40" t="s">
        <v>13</v>
      </c>
      <c r="E40" t="s">
        <v>18</v>
      </c>
      <c r="F40">
        <v>1</v>
      </c>
      <c r="G40">
        <v>250000</v>
      </c>
      <c r="H40">
        <v>250000</v>
      </c>
      <c r="J40" t="str">
        <v>Shoes</v>
      </c>
    </row>
    <row r="41" spans="1:10" x14ac:dyDescent="0.25">
      <c r="A41">
        <v>1040</v>
      </c>
      <c r="B41" s="2">
        <v>45332</v>
      </c>
      <c r="C41" t="s">
        <v>12</v>
      </c>
      <c r="D41" t="s">
        <v>11</v>
      </c>
      <c r="E41" t="s">
        <v>10</v>
      </c>
      <c r="F41">
        <v>4</v>
      </c>
      <c r="G41">
        <v>250000</v>
      </c>
      <c r="H41">
        <v>1000000</v>
      </c>
      <c r="J41" t="str">
        <v>Headphone</v>
      </c>
    </row>
    <row r="42" spans="1:10" x14ac:dyDescent="0.25">
      <c r="A42">
        <v>1041</v>
      </c>
      <c r="B42" s="2">
        <v>45333</v>
      </c>
      <c r="C42" t="s">
        <v>9</v>
      </c>
      <c r="D42" t="s">
        <v>8</v>
      </c>
      <c r="E42" t="s">
        <v>7</v>
      </c>
      <c r="F42">
        <v>2</v>
      </c>
      <c r="G42">
        <v>55000</v>
      </c>
      <c r="H42">
        <v>110000</v>
      </c>
      <c r="J42" t="str">
        <v>Belt</v>
      </c>
    </row>
    <row r="43" spans="1:10" x14ac:dyDescent="0.25">
      <c r="A43">
        <v>1042</v>
      </c>
      <c r="C43" t="s">
        <v>72</v>
      </c>
      <c r="D43" t="s">
        <v>6</v>
      </c>
      <c r="E43" t="s">
        <v>15</v>
      </c>
      <c r="F43">
        <v>3</v>
      </c>
      <c r="G43">
        <v>75000</v>
      </c>
      <c r="H43">
        <v>225000</v>
      </c>
      <c r="J43" t="str">
        <v>T-Shirt</v>
      </c>
    </row>
    <row r="44" spans="1:10" x14ac:dyDescent="0.25">
      <c r="A44">
        <v>1043</v>
      </c>
      <c r="B44" s="2">
        <v>45335</v>
      </c>
      <c r="C44" t="s">
        <v>14</v>
      </c>
      <c r="D44" t="s">
        <v>11</v>
      </c>
      <c r="E44" t="s">
        <v>19</v>
      </c>
      <c r="F44">
        <v>5</v>
      </c>
      <c r="G44">
        <v>85000</v>
      </c>
      <c r="H44">
        <v>425000</v>
      </c>
      <c r="J44" t="str">
        <v>Mouse</v>
      </c>
    </row>
    <row r="45" spans="1:10" x14ac:dyDescent="0.25">
      <c r="A45">
        <v>1044</v>
      </c>
      <c r="B45" s="2">
        <v>45336</v>
      </c>
      <c r="C45" t="s">
        <v>12</v>
      </c>
      <c r="D45" t="s">
        <v>6</v>
      </c>
      <c r="E45" t="s">
        <v>5</v>
      </c>
      <c r="F45">
        <v>2</v>
      </c>
      <c r="G45">
        <v>150000</v>
      </c>
      <c r="H45">
        <v>300000</v>
      </c>
      <c r="J45" t="str">
        <v>Jacket</v>
      </c>
    </row>
    <row r="46" spans="1:10" x14ac:dyDescent="0.25">
      <c r="A46">
        <v>1045</v>
      </c>
      <c r="B46" s="2">
        <v>45337</v>
      </c>
      <c r="C46" t="s">
        <v>9</v>
      </c>
      <c r="D46" t="s">
        <v>13</v>
      </c>
      <c r="E46" t="s">
        <v>71</v>
      </c>
      <c r="F46">
        <v>3</v>
      </c>
      <c r="G46">
        <v>250000</v>
      </c>
      <c r="H46">
        <v>750000</v>
      </c>
      <c r="J46" t="str">
        <v>Shoes</v>
      </c>
    </row>
    <row r="47" spans="1:10" x14ac:dyDescent="0.25">
      <c r="A47">
        <v>1046</v>
      </c>
      <c r="B47" s="2">
        <v>45338</v>
      </c>
      <c r="C47" t="s">
        <v>70</v>
      </c>
      <c r="D47" t="s">
        <v>8</v>
      </c>
      <c r="E47" t="s">
        <v>17</v>
      </c>
      <c r="F47">
        <v>4</v>
      </c>
      <c r="G47">
        <v>45000</v>
      </c>
      <c r="H47">
        <v>180000</v>
      </c>
      <c r="J47" t="str">
        <v>Cap</v>
      </c>
    </row>
    <row r="48" spans="1:10" x14ac:dyDescent="0.25">
      <c r="A48">
        <v>1047</v>
      </c>
      <c r="B48" s="2">
        <v>45339</v>
      </c>
      <c r="C48" t="s">
        <v>14</v>
      </c>
      <c r="D48" t="s">
        <v>11</v>
      </c>
      <c r="E48" t="s">
        <v>0</v>
      </c>
      <c r="F48">
        <v>1</v>
      </c>
      <c r="G48">
        <v>120000</v>
      </c>
      <c r="H48">
        <v>120000</v>
      </c>
      <c r="J48" t="str">
        <v>Laptop-Sleeve</v>
      </c>
    </row>
    <row r="49" spans="1:10" x14ac:dyDescent="0.25">
      <c r="A49">
        <v>1048</v>
      </c>
      <c r="B49" s="2">
        <v>45340</v>
      </c>
      <c r="C49" t="s">
        <v>12</v>
      </c>
      <c r="D49" t="s">
        <v>6</v>
      </c>
      <c r="E49" t="s">
        <v>15</v>
      </c>
      <c r="F49">
        <v>2</v>
      </c>
      <c r="G49">
        <v>75000</v>
      </c>
      <c r="H49">
        <v>150000</v>
      </c>
      <c r="J49" t="str">
        <v>T-Shirt</v>
      </c>
    </row>
    <row r="50" spans="1:10" x14ac:dyDescent="0.25">
      <c r="A50">
        <v>1049</v>
      </c>
      <c r="B50" s="2">
        <v>45341</v>
      </c>
      <c r="C50" t="s">
        <v>9</v>
      </c>
      <c r="D50" t="s">
        <v>11</v>
      </c>
      <c r="E50" t="s">
        <v>16</v>
      </c>
      <c r="F50">
        <v>2</v>
      </c>
      <c r="G50">
        <v>150000</v>
      </c>
      <c r="H50">
        <v>300000</v>
      </c>
      <c r="J50" t="str">
        <v>Keyboard</v>
      </c>
    </row>
    <row r="51" spans="1:10" x14ac:dyDescent="0.25">
      <c r="A51">
        <v>1050</v>
      </c>
      <c r="B51" s="2">
        <v>45342</v>
      </c>
      <c r="C51" t="s">
        <v>72</v>
      </c>
      <c r="D51" t="s">
        <v>8</v>
      </c>
      <c r="E51" t="s">
        <v>7</v>
      </c>
      <c r="F51">
        <v>3</v>
      </c>
      <c r="G51">
        <v>55000</v>
      </c>
      <c r="H51">
        <v>165000</v>
      </c>
      <c r="J51" t="str">
        <v>Belt</v>
      </c>
    </row>
    <row r="52" spans="1:10" x14ac:dyDescent="0.25">
      <c r="A52">
        <v>1051</v>
      </c>
      <c r="B52" s="2">
        <v>45343</v>
      </c>
      <c r="C52" t="s">
        <v>14</v>
      </c>
      <c r="D52" t="s">
        <v>13</v>
      </c>
      <c r="E52" t="s">
        <v>18</v>
      </c>
      <c r="F52">
        <v>2</v>
      </c>
      <c r="G52">
        <v>250000</v>
      </c>
      <c r="H52">
        <v>500000</v>
      </c>
      <c r="J52" t="str">
        <v>Shoes</v>
      </c>
    </row>
    <row r="53" spans="1:10" x14ac:dyDescent="0.25">
      <c r="A53">
        <v>1052</v>
      </c>
      <c r="C53" t="s">
        <v>12</v>
      </c>
      <c r="D53" t="s">
        <v>11</v>
      </c>
      <c r="E53" t="s">
        <v>19</v>
      </c>
      <c r="F53">
        <v>4</v>
      </c>
      <c r="G53">
        <v>85000</v>
      </c>
      <c r="H53">
        <v>340000</v>
      </c>
      <c r="J53" t="str">
        <v>Mouse</v>
      </c>
    </row>
    <row r="54" spans="1:10" x14ac:dyDescent="0.25">
      <c r="A54">
        <v>1053</v>
      </c>
      <c r="B54" s="2">
        <v>45345</v>
      </c>
      <c r="C54" t="s">
        <v>9</v>
      </c>
      <c r="D54" t="s">
        <v>6</v>
      </c>
      <c r="E54" t="s">
        <v>5</v>
      </c>
      <c r="F54">
        <v>1</v>
      </c>
      <c r="G54">
        <v>150000</v>
      </c>
      <c r="H54">
        <v>150000</v>
      </c>
      <c r="J54" t="str">
        <v>Jacket</v>
      </c>
    </row>
    <row r="55" spans="1:10" x14ac:dyDescent="0.25">
      <c r="A55">
        <v>1054</v>
      </c>
      <c r="B55" s="2">
        <v>45346</v>
      </c>
      <c r="C55" t="s">
        <v>70</v>
      </c>
      <c r="D55" t="s">
        <v>8</v>
      </c>
      <c r="E55" t="s">
        <v>74</v>
      </c>
      <c r="F55">
        <v>5</v>
      </c>
      <c r="G55">
        <v>45000</v>
      </c>
      <c r="H55">
        <v>225000</v>
      </c>
      <c r="J55" t="str">
        <v>Cap</v>
      </c>
    </row>
    <row r="56" spans="1:10" x14ac:dyDescent="0.25">
      <c r="A56">
        <v>1055</v>
      </c>
      <c r="B56" s="2">
        <v>45347</v>
      </c>
      <c r="C56" t="s">
        <v>14</v>
      </c>
      <c r="D56" t="s">
        <v>11</v>
      </c>
      <c r="E56" t="s">
        <v>10</v>
      </c>
      <c r="F56">
        <v>2</v>
      </c>
      <c r="G56">
        <v>250000</v>
      </c>
      <c r="H56">
        <v>500000</v>
      </c>
      <c r="J56" t="str">
        <v>Headphone</v>
      </c>
    </row>
    <row r="57" spans="1:10" x14ac:dyDescent="0.25">
      <c r="A57">
        <v>1056</v>
      </c>
      <c r="B57" s="2">
        <v>45348</v>
      </c>
      <c r="C57" t="s">
        <v>12</v>
      </c>
      <c r="D57" t="s">
        <v>6</v>
      </c>
      <c r="E57" t="s">
        <v>73</v>
      </c>
      <c r="F57">
        <v>3</v>
      </c>
      <c r="G57">
        <v>75000</v>
      </c>
      <c r="H57">
        <v>225000</v>
      </c>
      <c r="J57" t="str">
        <v>T-Shirt</v>
      </c>
    </row>
    <row r="58" spans="1:10" x14ac:dyDescent="0.25">
      <c r="A58">
        <v>1057</v>
      </c>
      <c r="B58" s="2">
        <v>45349</v>
      </c>
      <c r="C58" t="s">
        <v>9</v>
      </c>
      <c r="D58" t="s">
        <v>13</v>
      </c>
      <c r="E58" t="s">
        <v>18</v>
      </c>
      <c r="F58">
        <v>4</v>
      </c>
      <c r="G58">
        <v>250000</v>
      </c>
      <c r="H58">
        <v>1000000</v>
      </c>
      <c r="J58" t="str">
        <v>Shoes</v>
      </c>
    </row>
    <row r="59" spans="1:10" x14ac:dyDescent="0.25">
      <c r="A59">
        <v>1058</v>
      </c>
      <c r="B59" s="2">
        <v>45350</v>
      </c>
      <c r="C59" t="s">
        <v>72</v>
      </c>
      <c r="D59" t="s">
        <v>11</v>
      </c>
      <c r="E59" t="s">
        <v>0</v>
      </c>
      <c r="F59">
        <v>2</v>
      </c>
      <c r="G59">
        <v>120000</v>
      </c>
      <c r="H59">
        <v>240000</v>
      </c>
      <c r="J59" t="str">
        <v>Laptop-Sleeve</v>
      </c>
    </row>
    <row r="60" spans="1:10" x14ac:dyDescent="0.25">
      <c r="A60">
        <v>1059</v>
      </c>
      <c r="B60" s="2">
        <v>45351</v>
      </c>
      <c r="C60" t="s">
        <v>14</v>
      </c>
      <c r="D60" t="s">
        <v>8</v>
      </c>
      <c r="E60" t="s">
        <v>7</v>
      </c>
      <c r="F60">
        <v>3</v>
      </c>
      <c r="G60">
        <v>55000</v>
      </c>
      <c r="H60">
        <v>165000</v>
      </c>
      <c r="J60" t="str">
        <v>Belt</v>
      </c>
    </row>
    <row r="61" spans="1:10" x14ac:dyDescent="0.25">
      <c r="A61">
        <v>1060</v>
      </c>
      <c r="B61" s="2">
        <v>45352</v>
      </c>
      <c r="C61" t="s">
        <v>12</v>
      </c>
      <c r="D61" t="s">
        <v>6</v>
      </c>
      <c r="E61" t="s">
        <v>15</v>
      </c>
      <c r="F61">
        <v>5</v>
      </c>
      <c r="G61">
        <v>75000</v>
      </c>
      <c r="H61">
        <v>375000</v>
      </c>
      <c r="J61" t="str">
        <v>T-Shirt</v>
      </c>
    </row>
    <row r="62" spans="1:10" x14ac:dyDescent="0.25">
      <c r="A62">
        <v>1061</v>
      </c>
      <c r="C62" t="s">
        <v>9</v>
      </c>
      <c r="D62" t="s">
        <v>11</v>
      </c>
      <c r="E62" t="s">
        <v>19</v>
      </c>
      <c r="F62">
        <v>2</v>
      </c>
      <c r="G62">
        <v>85000</v>
      </c>
      <c r="H62">
        <v>170000</v>
      </c>
      <c r="J62" t="str">
        <v>Mouse</v>
      </c>
    </row>
    <row r="63" spans="1:10" x14ac:dyDescent="0.25">
      <c r="A63">
        <v>1062</v>
      </c>
      <c r="B63" s="2">
        <v>45354</v>
      </c>
      <c r="C63" t="s">
        <v>70</v>
      </c>
      <c r="D63" t="s">
        <v>13</v>
      </c>
      <c r="E63" t="s">
        <v>18</v>
      </c>
      <c r="F63">
        <v>1</v>
      </c>
      <c r="G63">
        <v>250000</v>
      </c>
      <c r="H63">
        <v>250000</v>
      </c>
      <c r="J63" t="str">
        <v>Shoes</v>
      </c>
    </row>
    <row r="64" spans="1:10" x14ac:dyDescent="0.25">
      <c r="A64">
        <v>1063</v>
      </c>
      <c r="B64" s="2">
        <v>45355</v>
      </c>
      <c r="C64" t="s">
        <v>14</v>
      </c>
      <c r="D64" t="s">
        <v>6</v>
      </c>
      <c r="E64" t="s">
        <v>5</v>
      </c>
      <c r="F64">
        <v>2</v>
      </c>
      <c r="G64">
        <v>150000</v>
      </c>
      <c r="H64">
        <v>300000</v>
      </c>
      <c r="J64" t="str">
        <v>Jacket</v>
      </c>
    </row>
    <row r="65" spans="1:10" x14ac:dyDescent="0.25">
      <c r="A65">
        <v>1064</v>
      </c>
      <c r="B65" s="2">
        <v>45356</v>
      </c>
      <c r="C65" t="s">
        <v>12</v>
      </c>
      <c r="D65" t="s">
        <v>8</v>
      </c>
      <c r="E65" t="s">
        <v>17</v>
      </c>
      <c r="F65">
        <v>4</v>
      </c>
      <c r="G65">
        <v>45000</v>
      </c>
      <c r="H65">
        <v>180000</v>
      </c>
      <c r="J65" t="str">
        <v>Cap</v>
      </c>
    </row>
    <row r="66" spans="1:10" x14ac:dyDescent="0.25">
      <c r="A66">
        <v>1065</v>
      </c>
      <c r="B66" s="2">
        <v>45357</v>
      </c>
      <c r="C66" t="s">
        <v>9</v>
      </c>
      <c r="D66" t="s">
        <v>11</v>
      </c>
      <c r="E66" t="s">
        <v>16</v>
      </c>
      <c r="F66">
        <v>3</v>
      </c>
      <c r="G66">
        <v>150000</v>
      </c>
      <c r="H66">
        <v>450000</v>
      </c>
      <c r="J66" t="str">
        <v>Keyboard</v>
      </c>
    </row>
    <row r="67" spans="1:10" x14ac:dyDescent="0.25">
      <c r="A67">
        <v>1066</v>
      </c>
      <c r="B67" s="2">
        <v>45358</v>
      </c>
      <c r="C67" t="s">
        <v>72</v>
      </c>
      <c r="D67" t="s">
        <v>6</v>
      </c>
      <c r="E67" t="s">
        <v>15</v>
      </c>
      <c r="F67">
        <v>2</v>
      </c>
      <c r="G67">
        <v>75000</v>
      </c>
      <c r="H67">
        <v>150000</v>
      </c>
      <c r="J67" t="str">
        <v>T-Shirt</v>
      </c>
    </row>
    <row r="68" spans="1:10" x14ac:dyDescent="0.25">
      <c r="A68">
        <v>1067</v>
      </c>
      <c r="B68" s="2">
        <v>45359</v>
      </c>
      <c r="C68" t="s">
        <v>14</v>
      </c>
      <c r="D68" t="s">
        <v>13</v>
      </c>
      <c r="E68" t="s">
        <v>71</v>
      </c>
      <c r="F68">
        <v>3</v>
      </c>
      <c r="G68">
        <v>250000</v>
      </c>
      <c r="H68">
        <v>750000</v>
      </c>
      <c r="J68" t="str">
        <v>Shoes</v>
      </c>
    </row>
    <row r="69" spans="1:10" x14ac:dyDescent="0.25">
      <c r="A69">
        <v>1068</v>
      </c>
      <c r="C69" t="s">
        <v>12</v>
      </c>
      <c r="D69" t="s">
        <v>11</v>
      </c>
      <c r="E69" t="s">
        <v>10</v>
      </c>
      <c r="F69">
        <v>1</v>
      </c>
      <c r="G69">
        <v>250000</v>
      </c>
      <c r="H69">
        <v>250000</v>
      </c>
      <c r="J69" t="str">
        <v>Headphone</v>
      </c>
    </row>
    <row r="70" spans="1:10" x14ac:dyDescent="0.25">
      <c r="A70">
        <v>1069</v>
      </c>
      <c r="B70" s="2">
        <v>45361</v>
      </c>
      <c r="C70" t="s">
        <v>9</v>
      </c>
      <c r="D70" t="s">
        <v>8</v>
      </c>
      <c r="E70" t="s">
        <v>7</v>
      </c>
      <c r="F70">
        <v>2</v>
      </c>
      <c r="G70">
        <v>55000</v>
      </c>
      <c r="H70">
        <v>110000</v>
      </c>
      <c r="J70" t="str">
        <v>Belt</v>
      </c>
    </row>
    <row r="71" spans="1:10" x14ac:dyDescent="0.25">
      <c r="A71">
        <v>1070</v>
      </c>
      <c r="B71" s="2">
        <v>45362</v>
      </c>
      <c r="C71" t="s">
        <v>70</v>
      </c>
      <c r="D71" t="s">
        <v>6</v>
      </c>
      <c r="E71" t="s">
        <v>5</v>
      </c>
      <c r="F71">
        <v>1</v>
      </c>
      <c r="G71">
        <v>150000</v>
      </c>
      <c r="H71">
        <v>150000</v>
      </c>
      <c r="J71" t="str">
        <v>Jacket</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RILL Fix Data (Pivot)</vt:lpstr>
      <vt:lpstr>Portfolio-PIVOT+Chart</vt:lpstr>
      <vt:lpstr>Tabel-Help Pivot</vt:lpstr>
      <vt:lpstr>Dataset Tambahan</vt:lpstr>
      <vt:lpstr>CLEAN Data Porto</vt:lpstr>
      <vt:lpstr>Mapping_Product</vt:lpstr>
      <vt:lpstr>RAW Data Porto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HP</dc:creator>
  <cp:lastModifiedBy>HP</cp:lastModifiedBy>
  <dcterms:created xsi:type="dcterms:W3CDTF">2026-01-01T09:25:31Z</dcterms:created>
  <dcterms:modified xsi:type="dcterms:W3CDTF">2026-01-31T12:39:19Z</dcterms:modified>
</cp:coreProperties>
</file>